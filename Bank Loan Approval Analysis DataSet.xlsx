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2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2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/>
  <mc:AlternateContent xmlns:mc="http://schemas.openxmlformats.org/markup-compatibility/2006">
    <mc:Choice Requires="x15">
      <x15ac:absPath xmlns:x15ac="http://schemas.microsoft.com/office/spreadsheetml/2010/11/ac" url="C:\Users\Nsti Ludhiana\Desktop\WS_JUPYTER\"/>
    </mc:Choice>
  </mc:AlternateContent>
  <xr:revisionPtr revIDLastSave="19" documentId="13_ncr:1_{4AB26BBF-6CDC-41E3-B0D7-C4697DD69E00}" xr6:coauthVersionLast="47" xr6:coauthVersionMax="47" xr10:uidLastSave="{E5E781FE-1120-41EE-A1DF-B0644CA75B17}"/>
  <bookViews>
    <workbookView xWindow="-120" yWindow="-120" windowWidth="29040" windowHeight="15720" xr2:uid="{60D7B89F-81DE-455D-BADB-A34C1C106E39}"/>
  </bookViews>
  <sheets>
    <sheet name="test_Y3wMUE5_7gLdaTN" sheetId="2" r:id="rId1"/>
    <sheet name="Sheet4" sheetId="5" r:id="rId2"/>
  </sheets>
  <definedNames>
    <definedName name="_xlchart.v1.0" hidden="1">test_Y3wMUE5_7gLdaTN!$I$2:$I$368</definedName>
    <definedName name="_xlchart.v1.1" hidden="1">test_Y3wMUE5_7gLdaTN!$M$2:$M$368</definedName>
    <definedName name="ExternalData_1" localSheetId="0" hidden="1">test_Y3wMUE5_7gLdaTN!$A$1:$L$368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1" i="2" l="1"/>
  <c r="P42" i="2"/>
  <c r="P73" i="2"/>
  <c r="P169" i="2"/>
  <c r="P170" i="2"/>
  <c r="P201" i="2"/>
  <c r="P297" i="2"/>
  <c r="P298" i="2"/>
  <c r="P316" i="2"/>
  <c r="P364" i="2"/>
  <c r="P365" i="2"/>
  <c r="O178" i="2"/>
  <c r="M2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P349" i="2" l="1"/>
  <c r="P266" i="2"/>
  <c r="P138" i="2"/>
  <c r="P10" i="2"/>
  <c r="P9" i="2"/>
  <c r="P348" i="2"/>
  <c r="P265" i="2"/>
  <c r="P137" i="2"/>
  <c r="N3" i="2"/>
  <c r="P333" i="2"/>
  <c r="P234" i="2"/>
  <c r="P106" i="2"/>
  <c r="P332" i="2"/>
  <c r="P233" i="2"/>
  <c r="P105" i="2"/>
  <c r="O194" i="2"/>
  <c r="P317" i="2"/>
  <c r="P202" i="2"/>
  <c r="P74" i="2"/>
  <c r="O162" i="2"/>
  <c r="P347" i="2"/>
  <c r="P315" i="2"/>
  <c r="P264" i="2"/>
  <c r="P200" i="2"/>
  <c r="P136" i="2"/>
  <c r="P72" i="2"/>
  <c r="P8" i="2"/>
  <c r="O146" i="2"/>
  <c r="P346" i="2"/>
  <c r="P314" i="2"/>
  <c r="P294" i="2"/>
  <c r="P230" i="2"/>
  <c r="P166" i="2"/>
  <c r="P102" i="2"/>
  <c r="P38" i="2"/>
  <c r="O321" i="2"/>
  <c r="O66" i="2"/>
  <c r="P357" i="2"/>
  <c r="P341" i="2"/>
  <c r="P325" i="2"/>
  <c r="P309" i="2"/>
  <c r="P282" i="2"/>
  <c r="P250" i="2"/>
  <c r="P218" i="2"/>
  <c r="P186" i="2"/>
  <c r="P154" i="2"/>
  <c r="P122" i="2"/>
  <c r="P90" i="2"/>
  <c r="P58" i="2"/>
  <c r="P26" i="2"/>
  <c r="O5" i="2"/>
  <c r="P363" i="2"/>
  <c r="P331" i="2"/>
  <c r="P296" i="2"/>
  <c r="P232" i="2"/>
  <c r="P168" i="2"/>
  <c r="P104" i="2"/>
  <c r="P40" i="2"/>
  <c r="P362" i="2"/>
  <c r="P330" i="2"/>
  <c r="P262" i="2"/>
  <c r="P198" i="2"/>
  <c r="P134" i="2"/>
  <c r="P70" i="2"/>
  <c r="P6" i="2"/>
  <c r="O306" i="2"/>
  <c r="O50" i="2"/>
  <c r="P356" i="2"/>
  <c r="P340" i="2"/>
  <c r="P324" i="2"/>
  <c r="P308" i="2"/>
  <c r="P281" i="2"/>
  <c r="P249" i="2"/>
  <c r="P217" i="2"/>
  <c r="P185" i="2"/>
  <c r="P153" i="2"/>
  <c r="P121" i="2"/>
  <c r="P89" i="2"/>
  <c r="P57" i="2"/>
  <c r="P25" i="2"/>
  <c r="O290" i="2"/>
  <c r="O34" i="2"/>
  <c r="P355" i="2"/>
  <c r="P339" i="2"/>
  <c r="P323" i="2"/>
  <c r="P307" i="2"/>
  <c r="P280" i="2"/>
  <c r="P248" i="2"/>
  <c r="P216" i="2"/>
  <c r="P184" i="2"/>
  <c r="P152" i="2"/>
  <c r="P120" i="2"/>
  <c r="P88" i="2"/>
  <c r="P56" i="2"/>
  <c r="P24" i="2"/>
  <c r="O274" i="2"/>
  <c r="O18" i="2"/>
  <c r="P354" i="2"/>
  <c r="P338" i="2"/>
  <c r="P322" i="2"/>
  <c r="P306" i="2"/>
  <c r="P278" i="2"/>
  <c r="P246" i="2"/>
  <c r="P214" i="2"/>
  <c r="P182" i="2"/>
  <c r="P150" i="2"/>
  <c r="P118" i="2"/>
  <c r="P86" i="2"/>
  <c r="P54" i="2"/>
  <c r="P22" i="2"/>
  <c r="N10" i="2"/>
  <c r="P3" i="2"/>
  <c r="P11" i="2"/>
  <c r="P19" i="2"/>
  <c r="P27" i="2"/>
  <c r="P35" i="2"/>
  <c r="P43" i="2"/>
  <c r="P51" i="2"/>
  <c r="P59" i="2"/>
  <c r="P67" i="2"/>
  <c r="P75" i="2"/>
  <c r="P83" i="2"/>
  <c r="P91" i="2"/>
  <c r="P99" i="2"/>
  <c r="P107" i="2"/>
  <c r="P115" i="2"/>
  <c r="P123" i="2"/>
  <c r="P131" i="2"/>
  <c r="P139" i="2"/>
  <c r="P147" i="2"/>
  <c r="P155" i="2"/>
  <c r="P163" i="2"/>
  <c r="P171" i="2"/>
  <c r="P179" i="2"/>
  <c r="P187" i="2"/>
  <c r="P195" i="2"/>
  <c r="P203" i="2"/>
  <c r="P211" i="2"/>
  <c r="P219" i="2"/>
  <c r="P227" i="2"/>
  <c r="P235" i="2"/>
  <c r="P243" i="2"/>
  <c r="P251" i="2"/>
  <c r="P259" i="2"/>
  <c r="P267" i="2"/>
  <c r="P275" i="2"/>
  <c r="P283" i="2"/>
  <c r="P291" i="2"/>
  <c r="N9" i="2"/>
  <c r="P4" i="2"/>
  <c r="P12" i="2"/>
  <c r="P20" i="2"/>
  <c r="P28" i="2"/>
  <c r="P36" i="2"/>
  <c r="P44" i="2"/>
  <c r="P52" i="2"/>
  <c r="P60" i="2"/>
  <c r="P68" i="2"/>
  <c r="P76" i="2"/>
  <c r="P84" i="2"/>
  <c r="P92" i="2"/>
  <c r="P100" i="2"/>
  <c r="P108" i="2"/>
  <c r="P116" i="2"/>
  <c r="P124" i="2"/>
  <c r="P132" i="2"/>
  <c r="P140" i="2"/>
  <c r="P148" i="2"/>
  <c r="P156" i="2"/>
  <c r="P164" i="2"/>
  <c r="P172" i="2"/>
  <c r="P180" i="2"/>
  <c r="P188" i="2"/>
  <c r="P196" i="2"/>
  <c r="P204" i="2"/>
  <c r="P212" i="2"/>
  <c r="P220" i="2"/>
  <c r="P228" i="2"/>
  <c r="P236" i="2"/>
  <c r="P244" i="2"/>
  <c r="P252" i="2"/>
  <c r="P260" i="2"/>
  <c r="P268" i="2"/>
  <c r="P276" i="2"/>
  <c r="P284" i="2"/>
  <c r="P292" i="2"/>
  <c r="P300" i="2"/>
  <c r="N8" i="2"/>
  <c r="P5" i="2"/>
  <c r="P13" i="2"/>
  <c r="P21" i="2"/>
  <c r="P29" i="2"/>
  <c r="P37" i="2"/>
  <c r="P45" i="2"/>
  <c r="P53" i="2"/>
  <c r="P61" i="2"/>
  <c r="P69" i="2"/>
  <c r="P77" i="2"/>
  <c r="P85" i="2"/>
  <c r="P93" i="2"/>
  <c r="P101" i="2"/>
  <c r="P109" i="2"/>
  <c r="P117" i="2"/>
  <c r="P125" i="2"/>
  <c r="P133" i="2"/>
  <c r="P141" i="2"/>
  <c r="P149" i="2"/>
  <c r="P157" i="2"/>
  <c r="P165" i="2"/>
  <c r="P173" i="2"/>
  <c r="P181" i="2"/>
  <c r="P189" i="2"/>
  <c r="P197" i="2"/>
  <c r="P205" i="2"/>
  <c r="P213" i="2"/>
  <c r="P221" i="2"/>
  <c r="P229" i="2"/>
  <c r="P237" i="2"/>
  <c r="P245" i="2"/>
  <c r="P253" i="2"/>
  <c r="P261" i="2"/>
  <c r="P269" i="2"/>
  <c r="P277" i="2"/>
  <c r="P285" i="2"/>
  <c r="P293" i="2"/>
  <c r="P301" i="2"/>
  <c r="N6" i="2"/>
  <c r="P7" i="2"/>
  <c r="P15" i="2"/>
  <c r="P23" i="2"/>
  <c r="P31" i="2"/>
  <c r="P39" i="2"/>
  <c r="P47" i="2"/>
  <c r="P55" i="2"/>
  <c r="P63" i="2"/>
  <c r="P71" i="2"/>
  <c r="P79" i="2"/>
  <c r="P87" i="2"/>
  <c r="P95" i="2"/>
  <c r="P103" i="2"/>
  <c r="P111" i="2"/>
  <c r="P119" i="2"/>
  <c r="P127" i="2"/>
  <c r="P135" i="2"/>
  <c r="P143" i="2"/>
  <c r="P151" i="2"/>
  <c r="P159" i="2"/>
  <c r="P167" i="2"/>
  <c r="P175" i="2"/>
  <c r="P183" i="2"/>
  <c r="P191" i="2"/>
  <c r="P199" i="2"/>
  <c r="P207" i="2"/>
  <c r="P215" i="2"/>
  <c r="P223" i="2"/>
  <c r="P231" i="2"/>
  <c r="P239" i="2"/>
  <c r="P247" i="2"/>
  <c r="P255" i="2"/>
  <c r="P263" i="2"/>
  <c r="P271" i="2"/>
  <c r="P279" i="2"/>
  <c r="P287" i="2"/>
  <c r="P295" i="2"/>
  <c r="P303" i="2"/>
  <c r="O130" i="2"/>
  <c r="P361" i="2"/>
  <c r="P345" i="2"/>
  <c r="P329" i="2"/>
  <c r="P313" i="2"/>
  <c r="P290" i="2"/>
  <c r="P274" i="2"/>
  <c r="P258" i="2"/>
  <c r="P242" i="2"/>
  <c r="P210" i="2"/>
  <c r="P194" i="2"/>
  <c r="P178" i="2"/>
  <c r="P162" i="2"/>
  <c r="P130" i="2"/>
  <c r="P114" i="2"/>
  <c r="P98" i="2"/>
  <c r="P66" i="2"/>
  <c r="P50" i="2"/>
  <c r="P34" i="2"/>
  <c r="P18" i="2"/>
  <c r="O358" i="2"/>
  <c r="O242" i="2"/>
  <c r="O114" i="2"/>
  <c r="P368" i="2"/>
  <c r="P360" i="2"/>
  <c r="P352" i="2"/>
  <c r="P344" i="2"/>
  <c r="P336" i="2"/>
  <c r="P328" i="2"/>
  <c r="P320" i="2"/>
  <c r="P312" i="2"/>
  <c r="P304" i="2"/>
  <c r="P289" i="2"/>
  <c r="P273" i="2"/>
  <c r="P257" i="2"/>
  <c r="P241" i="2"/>
  <c r="P225" i="2"/>
  <c r="P209" i="2"/>
  <c r="P193" i="2"/>
  <c r="P177" i="2"/>
  <c r="P161" i="2"/>
  <c r="P145" i="2"/>
  <c r="P129" i="2"/>
  <c r="P113" i="2"/>
  <c r="P97" i="2"/>
  <c r="P81" i="2"/>
  <c r="P65" i="2"/>
  <c r="P49" i="2"/>
  <c r="P33" i="2"/>
  <c r="P17" i="2"/>
  <c r="N4" i="2"/>
  <c r="O346" i="2"/>
  <c r="O226" i="2"/>
  <c r="O98" i="2"/>
  <c r="P367" i="2"/>
  <c r="P359" i="2"/>
  <c r="P351" i="2"/>
  <c r="P343" i="2"/>
  <c r="P335" i="2"/>
  <c r="P327" i="2"/>
  <c r="P319" i="2"/>
  <c r="P311" i="2"/>
  <c r="P302" i="2"/>
  <c r="P288" i="2"/>
  <c r="P272" i="2"/>
  <c r="P256" i="2"/>
  <c r="P240" i="2"/>
  <c r="P224" i="2"/>
  <c r="P208" i="2"/>
  <c r="P192" i="2"/>
  <c r="P176" i="2"/>
  <c r="P160" i="2"/>
  <c r="P144" i="2"/>
  <c r="P128" i="2"/>
  <c r="P112" i="2"/>
  <c r="P96" i="2"/>
  <c r="P80" i="2"/>
  <c r="P64" i="2"/>
  <c r="P48" i="2"/>
  <c r="P32" i="2"/>
  <c r="P16" i="2"/>
  <c r="N5" i="2"/>
  <c r="O258" i="2"/>
  <c r="O2" i="2"/>
  <c r="P353" i="2"/>
  <c r="P337" i="2"/>
  <c r="P321" i="2"/>
  <c r="P305" i="2"/>
  <c r="P226" i="2"/>
  <c r="P146" i="2"/>
  <c r="P82" i="2"/>
  <c r="P2" i="2"/>
  <c r="O333" i="2"/>
  <c r="O210" i="2"/>
  <c r="O82" i="2"/>
  <c r="P366" i="2"/>
  <c r="P358" i="2"/>
  <c r="P350" i="2"/>
  <c r="P342" i="2"/>
  <c r="P334" i="2"/>
  <c r="P326" i="2"/>
  <c r="P318" i="2"/>
  <c r="P310" i="2"/>
  <c r="P299" i="2"/>
  <c r="P286" i="2"/>
  <c r="P270" i="2"/>
  <c r="P254" i="2"/>
  <c r="P238" i="2"/>
  <c r="P222" i="2"/>
  <c r="P206" i="2"/>
  <c r="P190" i="2"/>
  <c r="P174" i="2"/>
  <c r="P158" i="2"/>
  <c r="P142" i="2"/>
  <c r="P126" i="2"/>
  <c r="P110" i="2"/>
  <c r="P94" i="2"/>
  <c r="P78" i="2"/>
  <c r="P62" i="2"/>
  <c r="P46" i="2"/>
  <c r="P30" i="2"/>
  <c r="P14" i="2"/>
  <c r="N7" i="2"/>
  <c r="O3" i="2"/>
  <c r="O11" i="2"/>
  <c r="O19" i="2"/>
  <c r="O27" i="2"/>
  <c r="O35" i="2"/>
  <c r="O43" i="2"/>
  <c r="O51" i="2"/>
  <c r="O59" i="2"/>
  <c r="O67" i="2"/>
  <c r="O75" i="2"/>
  <c r="O83" i="2"/>
  <c r="O91" i="2"/>
  <c r="O99" i="2"/>
  <c r="O107" i="2"/>
  <c r="O115" i="2"/>
  <c r="O123" i="2"/>
  <c r="O131" i="2"/>
  <c r="O139" i="2"/>
  <c r="O147" i="2"/>
  <c r="O155" i="2"/>
  <c r="O163" i="2"/>
  <c r="O171" i="2"/>
  <c r="O179" i="2"/>
  <c r="O187" i="2"/>
  <c r="O195" i="2"/>
  <c r="O203" i="2"/>
  <c r="O211" i="2"/>
  <c r="O219" i="2"/>
  <c r="O227" i="2"/>
  <c r="O235" i="2"/>
  <c r="O243" i="2"/>
  <c r="O251" i="2"/>
  <c r="O259" i="2"/>
  <c r="O267" i="2"/>
  <c r="O275" i="2"/>
  <c r="O283" i="2"/>
  <c r="O291" i="2"/>
  <c r="O299" i="2"/>
  <c r="O307" i="2"/>
  <c r="O315" i="2"/>
  <c r="O323" i="2"/>
  <c r="O331" i="2"/>
  <c r="O339" i="2"/>
  <c r="O347" i="2"/>
  <c r="O355" i="2"/>
  <c r="O363" i="2"/>
  <c r="O4" i="2"/>
  <c r="O12" i="2"/>
  <c r="O20" i="2"/>
  <c r="O28" i="2"/>
  <c r="O36" i="2"/>
  <c r="O44" i="2"/>
  <c r="O52" i="2"/>
  <c r="O60" i="2"/>
  <c r="O68" i="2"/>
  <c r="O76" i="2"/>
  <c r="O84" i="2"/>
  <c r="O92" i="2"/>
  <c r="O100" i="2"/>
  <c r="O108" i="2"/>
  <c r="O116" i="2"/>
  <c r="O124" i="2"/>
  <c r="O132" i="2"/>
  <c r="O140" i="2"/>
  <c r="O148" i="2"/>
  <c r="O156" i="2"/>
  <c r="O164" i="2"/>
  <c r="O172" i="2"/>
  <c r="O180" i="2"/>
  <c r="O188" i="2"/>
  <c r="O196" i="2"/>
  <c r="O204" i="2"/>
  <c r="O212" i="2"/>
  <c r="O220" i="2"/>
  <c r="O228" i="2"/>
  <c r="O236" i="2"/>
  <c r="O244" i="2"/>
  <c r="O252" i="2"/>
  <c r="O260" i="2"/>
  <c r="O268" i="2"/>
  <c r="O276" i="2"/>
  <c r="O284" i="2"/>
  <c r="O292" i="2"/>
  <c r="O300" i="2"/>
  <c r="O308" i="2"/>
  <c r="O7" i="2"/>
  <c r="O15" i="2"/>
  <c r="O23" i="2"/>
  <c r="O31" i="2"/>
  <c r="O39" i="2"/>
  <c r="O47" i="2"/>
  <c r="O55" i="2"/>
  <c r="O63" i="2"/>
  <c r="O71" i="2"/>
  <c r="O79" i="2"/>
  <c r="O87" i="2"/>
  <c r="O95" i="2"/>
  <c r="O103" i="2"/>
  <c r="O111" i="2"/>
  <c r="O119" i="2"/>
  <c r="O127" i="2"/>
  <c r="O135" i="2"/>
  <c r="O143" i="2"/>
  <c r="O151" i="2"/>
  <c r="O159" i="2"/>
  <c r="O167" i="2"/>
  <c r="O175" i="2"/>
  <c r="O183" i="2"/>
  <c r="O191" i="2"/>
  <c r="O199" i="2"/>
  <c r="O207" i="2"/>
  <c r="O215" i="2"/>
  <c r="O223" i="2"/>
  <c r="O231" i="2"/>
  <c r="O239" i="2"/>
  <c r="O247" i="2"/>
  <c r="O255" i="2"/>
  <c r="O263" i="2"/>
  <c r="O271" i="2"/>
  <c r="O279" i="2"/>
  <c r="O287" i="2"/>
  <c r="O295" i="2"/>
  <c r="O303" i="2"/>
  <c r="O311" i="2"/>
  <c r="O319" i="2"/>
  <c r="O327" i="2"/>
  <c r="O335" i="2"/>
  <c r="O343" i="2"/>
  <c r="O351" i="2"/>
  <c r="O359" i="2"/>
  <c r="O367" i="2"/>
  <c r="O8" i="2"/>
  <c r="O16" i="2"/>
  <c r="O24" i="2"/>
  <c r="O32" i="2"/>
  <c r="O40" i="2"/>
  <c r="O48" i="2"/>
  <c r="O56" i="2"/>
  <c r="O64" i="2"/>
  <c r="O72" i="2"/>
  <c r="O80" i="2"/>
  <c r="O88" i="2"/>
  <c r="O96" i="2"/>
  <c r="O104" i="2"/>
  <c r="O112" i="2"/>
  <c r="O120" i="2"/>
  <c r="O128" i="2"/>
  <c r="O136" i="2"/>
  <c r="O144" i="2"/>
  <c r="O152" i="2"/>
  <c r="O160" i="2"/>
  <c r="O168" i="2"/>
  <c r="O176" i="2"/>
  <c r="O184" i="2"/>
  <c r="O192" i="2"/>
  <c r="O200" i="2"/>
  <c r="O208" i="2"/>
  <c r="O216" i="2"/>
  <c r="O224" i="2"/>
  <c r="O232" i="2"/>
  <c r="O240" i="2"/>
  <c r="O248" i="2"/>
  <c r="O256" i="2"/>
  <c r="O264" i="2"/>
  <c r="O272" i="2"/>
  <c r="O280" i="2"/>
  <c r="O288" i="2"/>
  <c r="O296" i="2"/>
  <c r="O304" i="2"/>
  <c r="O312" i="2"/>
  <c r="O320" i="2"/>
  <c r="O328" i="2"/>
  <c r="O336" i="2"/>
  <c r="O344" i="2"/>
  <c r="O352" i="2"/>
  <c r="O360" i="2"/>
  <c r="O368" i="2"/>
  <c r="O356" i="2"/>
  <c r="O342" i="2"/>
  <c r="O330" i="2"/>
  <c r="O317" i="2"/>
  <c r="O302" i="2"/>
  <c r="O286" i="2"/>
  <c r="O270" i="2"/>
  <c r="O254" i="2"/>
  <c r="O238" i="2"/>
  <c r="O222" i="2"/>
  <c r="O206" i="2"/>
  <c r="O190" i="2"/>
  <c r="O174" i="2"/>
  <c r="O158" i="2"/>
  <c r="O142" i="2"/>
  <c r="O126" i="2"/>
  <c r="O110" i="2"/>
  <c r="O94" i="2"/>
  <c r="O78" i="2"/>
  <c r="O62" i="2"/>
  <c r="O46" i="2"/>
  <c r="O30" i="2"/>
  <c r="O14" i="2"/>
  <c r="O357" i="2"/>
  <c r="O345" i="2"/>
  <c r="O332" i="2"/>
  <c r="O305" i="2"/>
  <c r="O289" i="2"/>
  <c r="O273" i="2"/>
  <c r="O257" i="2"/>
  <c r="O241" i="2"/>
  <c r="O225" i="2"/>
  <c r="O193" i="2"/>
  <c r="O177" i="2"/>
  <c r="O161" i="2"/>
  <c r="O145" i="2"/>
  <c r="O129" i="2"/>
  <c r="O113" i="2"/>
  <c r="O97" i="2"/>
  <c r="O81" i="2"/>
  <c r="O65" i="2"/>
  <c r="O49" i="2"/>
  <c r="O33" i="2"/>
  <c r="O17" i="2"/>
  <c r="O366" i="2"/>
  <c r="O354" i="2"/>
  <c r="O341" i="2"/>
  <c r="O329" i="2"/>
  <c r="O316" i="2"/>
  <c r="O301" i="2"/>
  <c r="O285" i="2"/>
  <c r="O269" i="2"/>
  <c r="O253" i="2"/>
  <c r="O237" i="2"/>
  <c r="O221" i="2"/>
  <c r="O205" i="2"/>
  <c r="O189" i="2"/>
  <c r="O173" i="2"/>
  <c r="O157" i="2"/>
  <c r="O141" i="2"/>
  <c r="O125" i="2"/>
  <c r="O109" i="2"/>
  <c r="O93" i="2"/>
  <c r="O77" i="2"/>
  <c r="O61" i="2"/>
  <c r="O45" i="2"/>
  <c r="O29" i="2"/>
  <c r="O13" i="2"/>
  <c r="O365" i="2"/>
  <c r="O326" i="2"/>
  <c r="O282" i="2"/>
  <c r="O234" i="2"/>
  <c r="O218" i="2"/>
  <c r="O202" i="2"/>
  <c r="O154" i="2"/>
  <c r="O138" i="2"/>
  <c r="O122" i="2"/>
  <c r="O106" i="2"/>
  <c r="O90" i="2"/>
  <c r="O74" i="2"/>
  <c r="O58" i="2"/>
  <c r="O42" i="2"/>
  <c r="O26" i="2"/>
  <c r="O10" i="2"/>
  <c r="O353" i="2"/>
  <c r="O298" i="2"/>
  <c r="O250" i="2"/>
  <c r="O186" i="2"/>
  <c r="O350" i="2"/>
  <c r="O265" i="2"/>
  <c r="O318" i="2"/>
  <c r="O209" i="2"/>
  <c r="O362" i="2"/>
  <c r="O349" i="2"/>
  <c r="O337" i="2"/>
  <c r="O324" i="2"/>
  <c r="O310" i="2"/>
  <c r="O294" i="2"/>
  <c r="O278" i="2"/>
  <c r="O262" i="2"/>
  <c r="O246" i="2"/>
  <c r="O230" i="2"/>
  <c r="O214" i="2"/>
  <c r="O198" i="2"/>
  <c r="O182" i="2"/>
  <c r="O166" i="2"/>
  <c r="O150" i="2"/>
  <c r="O134" i="2"/>
  <c r="O118" i="2"/>
  <c r="O102" i="2"/>
  <c r="O86" i="2"/>
  <c r="O70" i="2"/>
  <c r="O54" i="2"/>
  <c r="O38" i="2"/>
  <c r="O22" i="2"/>
  <c r="O6" i="2"/>
  <c r="O340" i="2"/>
  <c r="O314" i="2"/>
  <c r="O266" i="2"/>
  <c r="O170" i="2"/>
  <c r="O364" i="2"/>
  <c r="O338" i="2"/>
  <c r="O325" i="2"/>
  <c r="O313" i="2"/>
  <c r="O297" i="2"/>
  <c r="O281" i="2"/>
  <c r="O249" i="2"/>
  <c r="O233" i="2"/>
  <c r="O217" i="2"/>
  <c r="O201" i="2"/>
  <c r="O185" i="2"/>
  <c r="O169" i="2"/>
  <c r="O153" i="2"/>
  <c r="O137" i="2"/>
  <c r="O121" i="2"/>
  <c r="O105" i="2"/>
  <c r="O89" i="2"/>
  <c r="O73" i="2"/>
  <c r="O57" i="2"/>
  <c r="O41" i="2"/>
  <c r="O25" i="2"/>
  <c r="O9" i="2"/>
  <c r="O361" i="2"/>
  <c r="O348" i="2"/>
  <c r="O334" i="2"/>
  <c r="O322" i="2"/>
  <c r="O309" i="2"/>
  <c r="O293" i="2"/>
  <c r="O277" i="2"/>
  <c r="O261" i="2"/>
  <c r="O245" i="2"/>
  <c r="O229" i="2"/>
  <c r="O213" i="2"/>
  <c r="O197" i="2"/>
  <c r="O181" i="2"/>
  <c r="O165" i="2"/>
  <c r="O149" i="2"/>
  <c r="O133" i="2"/>
  <c r="O117" i="2"/>
  <c r="O101" i="2"/>
  <c r="O85" i="2"/>
  <c r="O69" i="2"/>
  <c r="O53" i="2"/>
  <c r="O37" i="2"/>
  <c r="O21" i="2"/>
  <c r="N2" i="2"/>
  <c r="Q333" i="2" s="1"/>
  <c r="N329" i="2"/>
  <c r="N289" i="2"/>
  <c r="N249" i="2"/>
  <c r="N209" i="2"/>
  <c r="N169" i="2"/>
  <c r="N137" i="2"/>
  <c r="N81" i="2"/>
  <c r="N25" i="2"/>
  <c r="N352" i="2"/>
  <c r="N312" i="2"/>
  <c r="N280" i="2"/>
  <c r="N240" i="2"/>
  <c r="N200" i="2"/>
  <c r="N160" i="2"/>
  <c r="N120" i="2"/>
  <c r="N80" i="2"/>
  <c r="N16" i="2"/>
  <c r="N343" i="2"/>
  <c r="N303" i="2"/>
  <c r="N271" i="2"/>
  <c r="N231" i="2"/>
  <c r="N191" i="2"/>
  <c r="N143" i="2"/>
  <c r="N87" i="2"/>
  <c r="N47" i="2"/>
  <c r="N23" i="2"/>
  <c r="N350" i="2"/>
  <c r="N310" i="2"/>
  <c r="N270" i="2"/>
  <c r="N262" i="2"/>
  <c r="N254" i="2"/>
  <c r="N246" i="2"/>
  <c r="N238" i="2"/>
  <c r="N198" i="2"/>
  <c r="N190" i="2"/>
  <c r="N182" i="2"/>
  <c r="N174" i="2"/>
  <c r="N166" i="2"/>
  <c r="N158" i="2"/>
  <c r="N150" i="2"/>
  <c r="N142" i="2"/>
  <c r="N134" i="2"/>
  <c r="N126" i="2"/>
  <c r="N118" i="2"/>
  <c r="N110" i="2"/>
  <c r="N102" i="2"/>
  <c r="N94" i="2"/>
  <c r="N86" i="2"/>
  <c r="N78" i="2"/>
  <c r="N70" i="2"/>
  <c r="N62" i="2"/>
  <c r="N54" i="2"/>
  <c r="N46" i="2"/>
  <c r="N38" i="2"/>
  <c r="N30" i="2"/>
  <c r="N22" i="2"/>
  <c r="N14" i="2"/>
  <c r="N353" i="2"/>
  <c r="N313" i="2"/>
  <c r="N273" i="2"/>
  <c r="N233" i="2"/>
  <c r="N193" i="2"/>
  <c r="N153" i="2"/>
  <c r="N113" i="2"/>
  <c r="N73" i="2"/>
  <c r="N33" i="2"/>
  <c r="N368" i="2"/>
  <c r="N328" i="2"/>
  <c r="N288" i="2"/>
  <c r="N256" i="2"/>
  <c r="N216" i="2"/>
  <c r="N184" i="2"/>
  <c r="N144" i="2"/>
  <c r="N104" i="2"/>
  <c r="N56" i="2"/>
  <c r="N359" i="2"/>
  <c r="N319" i="2"/>
  <c r="N279" i="2"/>
  <c r="N247" i="2"/>
  <c r="N207" i="2"/>
  <c r="N167" i="2"/>
  <c r="N135" i="2"/>
  <c r="N95" i="2"/>
  <c r="N334" i="2"/>
  <c r="N286" i="2"/>
  <c r="N206" i="2"/>
  <c r="N365" i="2"/>
  <c r="N357" i="2"/>
  <c r="N349" i="2"/>
  <c r="N341" i="2"/>
  <c r="N333" i="2"/>
  <c r="N325" i="2"/>
  <c r="N317" i="2"/>
  <c r="N309" i="2"/>
  <c r="N301" i="2"/>
  <c r="N293" i="2"/>
  <c r="N285" i="2"/>
  <c r="N277" i="2"/>
  <c r="N269" i="2"/>
  <c r="N261" i="2"/>
  <c r="N253" i="2"/>
  <c r="N245" i="2"/>
  <c r="N237" i="2"/>
  <c r="N229" i="2"/>
  <c r="N221" i="2"/>
  <c r="N213" i="2"/>
  <c r="N205" i="2"/>
  <c r="N197" i="2"/>
  <c r="N189" i="2"/>
  <c r="N181" i="2"/>
  <c r="N173" i="2"/>
  <c r="N165" i="2"/>
  <c r="N157" i="2"/>
  <c r="N149" i="2"/>
  <c r="N141" i="2"/>
  <c r="N133" i="2"/>
  <c r="N125" i="2"/>
  <c r="N117" i="2"/>
  <c r="N109" i="2"/>
  <c r="N101" i="2"/>
  <c r="N93" i="2"/>
  <c r="N85" i="2"/>
  <c r="N77" i="2"/>
  <c r="N69" i="2"/>
  <c r="N61" i="2"/>
  <c r="N53" i="2"/>
  <c r="N45" i="2"/>
  <c r="N37" i="2"/>
  <c r="N29" i="2"/>
  <c r="N21" i="2"/>
  <c r="N13" i="2"/>
  <c r="N361" i="2"/>
  <c r="N321" i="2"/>
  <c r="N281" i="2"/>
  <c r="N241" i="2"/>
  <c r="N201" i="2"/>
  <c r="N161" i="2"/>
  <c r="N121" i="2"/>
  <c r="N97" i="2"/>
  <c r="N57" i="2"/>
  <c r="N41" i="2"/>
  <c r="N344" i="2"/>
  <c r="N304" i="2"/>
  <c r="N264" i="2"/>
  <c r="N224" i="2"/>
  <c r="N168" i="2"/>
  <c r="N128" i="2"/>
  <c r="N96" i="2"/>
  <c r="N64" i="2"/>
  <c r="N40" i="2"/>
  <c r="N335" i="2"/>
  <c r="N295" i="2"/>
  <c r="N255" i="2"/>
  <c r="N215" i="2"/>
  <c r="N183" i="2"/>
  <c r="N151" i="2"/>
  <c r="N119" i="2"/>
  <c r="N103" i="2"/>
  <c r="N63" i="2"/>
  <c r="N39" i="2"/>
  <c r="N342" i="2"/>
  <c r="N302" i="2"/>
  <c r="N214" i="2"/>
  <c r="N364" i="2"/>
  <c r="N356" i="2"/>
  <c r="N348" i="2"/>
  <c r="N340" i="2"/>
  <c r="N332" i="2"/>
  <c r="N324" i="2"/>
  <c r="N316" i="2"/>
  <c r="N308" i="2"/>
  <c r="N300" i="2"/>
  <c r="N292" i="2"/>
  <c r="N284" i="2"/>
  <c r="N276" i="2"/>
  <c r="N268" i="2"/>
  <c r="N260" i="2"/>
  <c r="N252" i="2"/>
  <c r="N244" i="2"/>
  <c r="N236" i="2"/>
  <c r="N228" i="2"/>
  <c r="N220" i="2"/>
  <c r="N212" i="2"/>
  <c r="N204" i="2"/>
  <c r="N196" i="2"/>
  <c r="N188" i="2"/>
  <c r="N180" i="2"/>
  <c r="N172" i="2"/>
  <c r="N164" i="2"/>
  <c r="N156" i="2"/>
  <c r="N148" i="2"/>
  <c r="N140" i="2"/>
  <c r="N132" i="2"/>
  <c r="N124" i="2"/>
  <c r="N116" i="2"/>
  <c r="N108" i="2"/>
  <c r="N100" i="2"/>
  <c r="N92" i="2"/>
  <c r="N84" i="2"/>
  <c r="N76" i="2"/>
  <c r="N68" i="2"/>
  <c r="N60" i="2"/>
  <c r="N52" i="2"/>
  <c r="N44" i="2"/>
  <c r="N36" i="2"/>
  <c r="N28" i="2"/>
  <c r="N20" i="2"/>
  <c r="N12" i="2"/>
  <c r="N337" i="2"/>
  <c r="N297" i="2"/>
  <c r="N257" i="2"/>
  <c r="N217" i="2"/>
  <c r="N177" i="2"/>
  <c r="N129" i="2"/>
  <c r="N89" i="2"/>
  <c r="N17" i="2"/>
  <c r="N360" i="2"/>
  <c r="N320" i="2"/>
  <c r="N272" i="2"/>
  <c r="N232" i="2"/>
  <c r="N192" i="2"/>
  <c r="N152" i="2"/>
  <c r="N112" i="2"/>
  <c r="N72" i="2"/>
  <c r="N32" i="2"/>
  <c r="N351" i="2"/>
  <c r="N311" i="2"/>
  <c r="N263" i="2"/>
  <c r="N223" i="2"/>
  <c r="N175" i="2"/>
  <c r="N127" i="2"/>
  <c r="N79" i="2"/>
  <c r="N55" i="2"/>
  <c r="N15" i="2"/>
  <c r="N366" i="2"/>
  <c r="N326" i="2"/>
  <c r="N294" i="2"/>
  <c r="N222" i="2"/>
  <c r="N363" i="2"/>
  <c r="N355" i="2"/>
  <c r="N347" i="2"/>
  <c r="N339" i="2"/>
  <c r="N331" i="2"/>
  <c r="N323" i="2"/>
  <c r="N315" i="2"/>
  <c r="N307" i="2"/>
  <c r="N299" i="2"/>
  <c r="N291" i="2"/>
  <c r="N283" i="2"/>
  <c r="N275" i="2"/>
  <c r="N267" i="2"/>
  <c r="N259" i="2"/>
  <c r="N251" i="2"/>
  <c r="N243" i="2"/>
  <c r="N235" i="2"/>
  <c r="N227" i="2"/>
  <c r="N219" i="2"/>
  <c r="N211" i="2"/>
  <c r="N203" i="2"/>
  <c r="N195" i="2"/>
  <c r="N187" i="2"/>
  <c r="N179" i="2"/>
  <c r="N171" i="2"/>
  <c r="N163" i="2"/>
  <c r="N155" i="2"/>
  <c r="N147" i="2"/>
  <c r="N139" i="2"/>
  <c r="N131" i="2"/>
  <c r="N123" i="2"/>
  <c r="N115" i="2"/>
  <c r="N107" i="2"/>
  <c r="N99" i="2"/>
  <c r="N91" i="2"/>
  <c r="N83" i="2"/>
  <c r="N75" i="2"/>
  <c r="N67" i="2"/>
  <c r="N59" i="2"/>
  <c r="N51" i="2"/>
  <c r="N43" i="2"/>
  <c r="N35" i="2"/>
  <c r="N27" i="2"/>
  <c r="N19" i="2"/>
  <c r="N11" i="2"/>
  <c r="N345" i="2"/>
  <c r="N305" i="2"/>
  <c r="N265" i="2"/>
  <c r="N225" i="2"/>
  <c r="N185" i="2"/>
  <c r="N145" i="2"/>
  <c r="N105" i="2"/>
  <c r="N65" i="2"/>
  <c r="N49" i="2"/>
  <c r="N336" i="2"/>
  <c r="N296" i="2"/>
  <c r="N248" i="2"/>
  <c r="N208" i="2"/>
  <c r="N176" i="2"/>
  <c r="N136" i="2"/>
  <c r="N88" i="2"/>
  <c r="N48" i="2"/>
  <c r="N24" i="2"/>
  <c r="N367" i="2"/>
  <c r="N327" i="2"/>
  <c r="N287" i="2"/>
  <c r="N239" i="2"/>
  <c r="N199" i="2"/>
  <c r="N159" i="2"/>
  <c r="N111" i="2"/>
  <c r="N71" i="2"/>
  <c r="N31" i="2"/>
  <c r="N358" i="2"/>
  <c r="N318" i="2"/>
  <c r="N278" i="2"/>
  <c r="N230" i="2"/>
  <c r="N362" i="2"/>
  <c r="N354" i="2"/>
  <c r="N346" i="2"/>
  <c r="N338" i="2"/>
  <c r="N330" i="2"/>
  <c r="N322" i="2"/>
  <c r="N314" i="2"/>
  <c r="N306" i="2"/>
  <c r="N298" i="2"/>
  <c r="N290" i="2"/>
  <c r="N282" i="2"/>
  <c r="N274" i="2"/>
  <c r="N266" i="2"/>
  <c r="N258" i="2"/>
  <c r="N250" i="2"/>
  <c r="N242" i="2"/>
  <c r="N234" i="2"/>
  <c r="N226" i="2"/>
  <c r="N218" i="2"/>
  <c r="N210" i="2"/>
  <c r="N202" i="2"/>
  <c r="N194" i="2"/>
  <c r="N186" i="2"/>
  <c r="N178" i="2"/>
  <c r="N170" i="2"/>
  <c r="N162" i="2"/>
  <c r="N154" i="2"/>
  <c r="N146" i="2"/>
  <c r="N138" i="2"/>
  <c r="N130" i="2"/>
  <c r="N122" i="2"/>
  <c r="N114" i="2"/>
  <c r="N106" i="2"/>
  <c r="N98" i="2"/>
  <c r="N90" i="2"/>
  <c r="N82" i="2"/>
  <c r="N74" i="2"/>
  <c r="N66" i="2"/>
  <c r="N58" i="2"/>
  <c r="N50" i="2"/>
  <c r="N42" i="2"/>
  <c r="N34" i="2"/>
  <c r="N26" i="2"/>
  <c r="N18" i="2"/>
  <c r="Q114" i="2" l="1"/>
  <c r="Q266" i="2"/>
  <c r="Q66" i="2"/>
  <c r="Q218" i="2"/>
  <c r="Q46" i="2"/>
  <c r="Q110" i="2"/>
  <c r="Q174" i="2"/>
  <c r="Q238" i="2"/>
  <c r="Q302" i="2"/>
  <c r="Q366" i="2"/>
  <c r="Q7" i="2"/>
  <c r="Q135" i="2"/>
  <c r="Q263" i="2"/>
  <c r="Q40" i="2"/>
  <c r="Q168" i="2"/>
  <c r="Q296" i="2"/>
  <c r="Q123" i="2"/>
  <c r="Q227" i="2"/>
  <c r="Q363" i="2"/>
  <c r="Q314" i="2"/>
  <c r="Q75" i="2"/>
  <c r="Q235" i="2"/>
  <c r="Q355" i="2"/>
  <c r="Q4" i="2"/>
  <c r="Q68" i="2"/>
  <c r="Q132" i="2"/>
  <c r="Q196" i="2"/>
  <c r="Q260" i="2"/>
  <c r="Q324" i="2"/>
  <c r="Q53" i="2"/>
  <c r="Q117" i="2"/>
  <c r="Q181" i="2"/>
  <c r="Q245" i="2"/>
  <c r="Q309" i="2"/>
  <c r="Q23" i="2"/>
  <c r="Q279" i="2"/>
  <c r="Q26" i="2"/>
  <c r="Q154" i="2"/>
  <c r="Q210" i="2"/>
  <c r="Q106" i="2"/>
  <c r="Q258" i="2"/>
  <c r="Q62" i="2"/>
  <c r="Q126" i="2"/>
  <c r="Q190" i="2"/>
  <c r="Q254" i="2"/>
  <c r="Q318" i="2"/>
  <c r="Q39" i="2"/>
  <c r="Q167" i="2"/>
  <c r="Q295" i="2"/>
  <c r="Q72" i="2"/>
  <c r="Q200" i="2"/>
  <c r="Q328" i="2"/>
  <c r="Q35" i="2"/>
  <c r="Q155" i="2"/>
  <c r="Q259" i="2"/>
  <c r="Q338" i="2"/>
  <c r="Q107" i="2"/>
  <c r="Q267" i="2"/>
  <c r="Q20" i="2"/>
  <c r="Q84" i="2"/>
  <c r="Q148" i="2"/>
  <c r="Q212" i="2"/>
  <c r="Q276" i="2"/>
  <c r="Q340" i="2"/>
  <c r="Q5" i="2"/>
  <c r="Q69" i="2"/>
  <c r="Q133" i="2"/>
  <c r="Q197" i="2"/>
  <c r="Q261" i="2"/>
  <c r="Q325" i="2"/>
  <c r="Q312" i="2"/>
  <c r="Q42" i="2"/>
  <c r="Q170" i="2"/>
  <c r="Q250" i="2"/>
  <c r="Q122" i="2"/>
  <c r="Q290" i="2"/>
  <c r="Q6" i="2"/>
  <c r="Q70" i="2"/>
  <c r="Q134" i="2"/>
  <c r="Q198" i="2"/>
  <c r="Q262" i="2"/>
  <c r="Q326" i="2"/>
  <c r="Q55" i="2"/>
  <c r="Q183" i="2"/>
  <c r="Q311" i="2"/>
  <c r="Q88" i="2"/>
  <c r="Q216" i="2"/>
  <c r="Q344" i="2"/>
  <c r="Q51" i="2"/>
  <c r="Q163" i="2"/>
  <c r="Q275" i="2"/>
  <c r="Q354" i="2"/>
  <c r="Q131" i="2"/>
  <c r="Q283" i="2"/>
  <c r="Q28" i="2"/>
  <c r="Q92" i="2"/>
  <c r="Q156" i="2"/>
  <c r="Q220" i="2"/>
  <c r="Q284" i="2"/>
  <c r="Q348" i="2"/>
  <c r="Q13" i="2"/>
  <c r="Q77" i="2"/>
  <c r="Q141" i="2"/>
  <c r="Q205" i="2"/>
  <c r="Q269" i="2"/>
  <c r="Q9" i="2"/>
  <c r="Q185" i="2"/>
  <c r="Q233" i="2"/>
  <c r="Q281" i="2"/>
  <c r="Q25" i="2"/>
  <c r="Q41" i="2"/>
  <c r="Q57" i="2"/>
  <c r="Q73" i="2"/>
  <c r="Q89" i="2"/>
  <c r="Q105" i="2"/>
  <c r="Q121" i="2"/>
  <c r="Q137" i="2"/>
  <c r="Q153" i="2"/>
  <c r="Q169" i="2"/>
  <c r="Q201" i="2"/>
  <c r="Q217" i="2"/>
  <c r="Q249" i="2"/>
  <c r="Q265" i="2"/>
  <c r="Q297" i="2"/>
  <c r="Q313" i="2"/>
  <c r="Q329" i="2"/>
  <c r="Q345" i="2"/>
  <c r="Q361" i="2"/>
  <c r="Q15" i="2"/>
  <c r="Q47" i="2"/>
  <c r="Q79" i="2"/>
  <c r="Q111" i="2"/>
  <c r="Q143" i="2"/>
  <c r="Q175" i="2"/>
  <c r="Q207" i="2"/>
  <c r="Q239" i="2"/>
  <c r="Q271" i="2"/>
  <c r="Q303" i="2"/>
  <c r="Q335" i="2"/>
  <c r="Q367" i="2"/>
  <c r="Q16" i="2"/>
  <c r="Q48" i="2"/>
  <c r="Q80" i="2"/>
  <c r="Q112" i="2"/>
  <c r="Q144" i="2"/>
  <c r="Q176" i="2"/>
  <c r="Q208" i="2"/>
  <c r="Q240" i="2"/>
  <c r="Q272" i="2"/>
  <c r="Q304" i="2"/>
  <c r="Q336" i="2"/>
  <c r="Q368" i="2"/>
  <c r="Q63" i="2"/>
  <c r="Q127" i="2"/>
  <c r="Q223" i="2"/>
  <c r="Q287" i="2"/>
  <c r="Q351" i="2"/>
  <c r="Q64" i="2"/>
  <c r="Q128" i="2"/>
  <c r="Q192" i="2"/>
  <c r="Q256" i="2"/>
  <c r="Q320" i="2"/>
  <c r="Q17" i="2"/>
  <c r="Q49" i="2"/>
  <c r="Q81" i="2"/>
  <c r="Q113" i="2"/>
  <c r="Q145" i="2"/>
  <c r="Q177" i="2"/>
  <c r="Q209" i="2"/>
  <c r="Q241" i="2"/>
  <c r="Q273" i="2"/>
  <c r="Q305" i="2"/>
  <c r="Q337" i="2"/>
  <c r="Q31" i="2"/>
  <c r="Q95" i="2"/>
  <c r="Q191" i="2"/>
  <c r="Q255" i="2"/>
  <c r="Q319" i="2"/>
  <c r="Q32" i="2"/>
  <c r="Q96" i="2"/>
  <c r="Q160" i="2"/>
  <c r="Q224" i="2"/>
  <c r="Q288" i="2"/>
  <c r="Q352" i="2"/>
  <c r="Q33" i="2"/>
  <c r="Q257" i="2"/>
  <c r="Q65" i="2"/>
  <c r="Q289" i="2"/>
  <c r="Q97" i="2"/>
  <c r="Q321" i="2"/>
  <c r="Q129" i="2"/>
  <c r="Q353" i="2"/>
  <c r="Q159" i="2"/>
  <c r="Q161" i="2"/>
  <c r="Q193" i="2"/>
  <c r="Q225" i="2"/>
  <c r="Q151" i="2"/>
  <c r="Q58" i="2"/>
  <c r="Q186" i="2"/>
  <c r="Q282" i="2"/>
  <c r="Q2" i="2"/>
  <c r="Q138" i="2"/>
  <c r="Q14" i="2"/>
  <c r="Q78" i="2"/>
  <c r="Q142" i="2"/>
  <c r="Q206" i="2"/>
  <c r="Q270" i="2"/>
  <c r="Q334" i="2"/>
  <c r="Q71" i="2"/>
  <c r="Q199" i="2"/>
  <c r="Q327" i="2"/>
  <c r="Q104" i="2"/>
  <c r="Q232" i="2"/>
  <c r="Q360" i="2"/>
  <c r="Q306" i="2"/>
  <c r="Q67" i="2"/>
  <c r="Q171" i="2"/>
  <c r="Q291" i="2"/>
  <c r="Q11" i="2"/>
  <c r="Q147" i="2"/>
  <c r="Q299" i="2"/>
  <c r="Q36" i="2"/>
  <c r="Q100" i="2"/>
  <c r="Q164" i="2"/>
  <c r="Q228" i="2"/>
  <c r="Q292" i="2"/>
  <c r="Q356" i="2"/>
  <c r="Q21" i="2"/>
  <c r="Q85" i="2"/>
  <c r="Q149" i="2"/>
  <c r="Q213" i="2"/>
  <c r="Q277" i="2"/>
  <c r="Q341" i="2"/>
  <c r="Q10" i="2"/>
  <c r="Q130" i="2"/>
  <c r="Q274" i="2"/>
  <c r="Q90" i="2"/>
  <c r="Q234" i="2"/>
  <c r="Q56" i="2"/>
  <c r="Q184" i="2"/>
  <c r="Q322" i="2"/>
  <c r="Q61" i="2"/>
  <c r="Q125" i="2"/>
  <c r="Q189" i="2"/>
  <c r="Q317" i="2"/>
  <c r="Q74" i="2"/>
  <c r="Q202" i="2"/>
  <c r="Q298" i="2"/>
  <c r="Q18" i="2"/>
  <c r="Q162" i="2"/>
  <c r="Q22" i="2"/>
  <c r="Q86" i="2"/>
  <c r="Q150" i="2"/>
  <c r="Q214" i="2"/>
  <c r="Q278" i="2"/>
  <c r="Q342" i="2"/>
  <c r="Q87" i="2"/>
  <c r="Q215" i="2"/>
  <c r="Q343" i="2"/>
  <c r="Q120" i="2"/>
  <c r="Q248" i="2"/>
  <c r="Q330" i="2"/>
  <c r="Q83" i="2"/>
  <c r="Q187" i="2"/>
  <c r="Q307" i="2"/>
  <c r="Q27" i="2"/>
  <c r="Q179" i="2"/>
  <c r="Q315" i="2"/>
  <c r="Q44" i="2"/>
  <c r="Q108" i="2"/>
  <c r="Q172" i="2"/>
  <c r="Q236" i="2"/>
  <c r="Q300" i="2"/>
  <c r="Q364" i="2"/>
  <c r="Q29" i="2"/>
  <c r="Q93" i="2"/>
  <c r="Q157" i="2"/>
  <c r="Q221" i="2"/>
  <c r="Q285" i="2"/>
  <c r="Q349" i="2"/>
  <c r="Q54" i="2"/>
  <c r="Q118" i="2"/>
  <c r="Q182" i="2"/>
  <c r="Q246" i="2"/>
  <c r="Q310" i="2"/>
  <c r="Q19" i="2"/>
  <c r="Q139" i="2"/>
  <c r="Q91" i="2"/>
  <c r="Q251" i="2"/>
  <c r="Q12" i="2"/>
  <c r="Q76" i="2"/>
  <c r="Q140" i="2"/>
  <c r="Q204" i="2"/>
  <c r="Q268" i="2"/>
  <c r="Q332" i="2"/>
  <c r="Q253" i="2"/>
  <c r="Q82" i="2"/>
  <c r="Q226" i="2"/>
  <c r="Q34" i="2"/>
  <c r="Q178" i="2"/>
  <c r="Q30" i="2"/>
  <c r="Q94" i="2"/>
  <c r="Q158" i="2"/>
  <c r="Q222" i="2"/>
  <c r="Q286" i="2"/>
  <c r="Q350" i="2"/>
  <c r="Q103" i="2"/>
  <c r="Q231" i="2"/>
  <c r="Q359" i="2"/>
  <c r="Q8" i="2"/>
  <c r="Q136" i="2"/>
  <c r="Q264" i="2"/>
  <c r="Q346" i="2"/>
  <c r="Q99" i="2"/>
  <c r="Q203" i="2"/>
  <c r="Q323" i="2"/>
  <c r="Q43" i="2"/>
  <c r="Q195" i="2"/>
  <c r="Q331" i="2"/>
  <c r="Q52" i="2"/>
  <c r="Q116" i="2"/>
  <c r="Q180" i="2"/>
  <c r="Q244" i="2"/>
  <c r="Q308" i="2"/>
  <c r="Q37" i="2"/>
  <c r="Q101" i="2"/>
  <c r="Q165" i="2"/>
  <c r="Q229" i="2"/>
  <c r="Q293" i="2"/>
  <c r="Q357" i="2"/>
  <c r="Q146" i="2"/>
  <c r="Q243" i="2"/>
  <c r="Q98" i="2"/>
  <c r="Q242" i="2"/>
  <c r="Q50" i="2"/>
  <c r="Q194" i="2"/>
  <c r="Q38" i="2"/>
  <c r="Q102" i="2"/>
  <c r="Q166" i="2"/>
  <c r="Q230" i="2"/>
  <c r="Q294" i="2"/>
  <c r="Q358" i="2"/>
  <c r="Q119" i="2"/>
  <c r="Q247" i="2"/>
  <c r="Q24" i="2"/>
  <c r="Q152" i="2"/>
  <c r="Q280" i="2"/>
  <c r="Q362" i="2"/>
  <c r="Q3" i="2"/>
  <c r="Q115" i="2"/>
  <c r="Q211" i="2"/>
  <c r="Q347" i="2"/>
  <c r="Q59" i="2"/>
  <c r="Q219" i="2"/>
  <c r="Q339" i="2"/>
  <c r="Q60" i="2"/>
  <c r="Q124" i="2"/>
  <c r="Q188" i="2"/>
  <c r="Q252" i="2"/>
  <c r="Q316" i="2"/>
  <c r="Q45" i="2"/>
  <c r="Q109" i="2"/>
  <c r="Q173" i="2"/>
  <c r="Q237" i="2"/>
  <c r="Q301" i="2"/>
  <c r="Q365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48D3A57-AE5D-480D-B5B2-E290F7C366DD}" keepAlive="1" name="Query - test_Y3wMUE5_7gLdaTN" description="Connection to the 'test_Y3wMUE5_7gLdaTN' query in the workbook." type="5" refreshedVersion="8" background="1" saveData="1">
    <dbPr connection="Provider=Microsoft.Mashup.OleDb.1;Data Source=$Workbook$;Location=test_Y3wMUE5_7gLdaTN;Extended Properties=&quot;&quot;" command="SELECT * FROM [test_Y3wMUE5_7gLdaTN]"/>
  </connection>
</connections>
</file>

<file path=xl/sharedStrings.xml><?xml version="1.0" encoding="utf-8"?>
<sst xmlns="http://schemas.openxmlformats.org/spreadsheetml/2006/main" count="2219" uniqueCount="394">
  <si>
    <t>LoanID</t>
  </si>
  <si>
    <t>Gender</t>
  </si>
  <si>
    <t>Married</t>
  </si>
  <si>
    <t>Dependents</t>
  </si>
  <si>
    <t>Education</t>
  </si>
  <si>
    <t>Self_Employed</t>
  </si>
  <si>
    <t>ApplicantIncome</t>
  </si>
  <si>
    <t>CoapplicantIncome</t>
  </si>
  <si>
    <t>LoanAmount</t>
  </si>
  <si>
    <t>Loan_Amount_Term</t>
  </si>
  <si>
    <t>Credit_History</t>
  </si>
  <si>
    <t>Property_Area</t>
  </si>
  <si>
    <t>Total Income</t>
  </si>
  <si>
    <t>Q1_25%</t>
  </si>
  <si>
    <t>Q2_50%</t>
  </si>
  <si>
    <t>Q3_75%</t>
  </si>
  <si>
    <t>Income_Category</t>
  </si>
  <si>
    <t>LP001015</t>
  </si>
  <si>
    <t>Male</t>
  </si>
  <si>
    <t>Yes</t>
  </si>
  <si>
    <t>Graduate</t>
  </si>
  <si>
    <t>No</t>
  </si>
  <si>
    <t>Urban</t>
  </si>
  <si>
    <t>LP001022</t>
  </si>
  <si>
    <t>LP001031</t>
  </si>
  <si>
    <t>LP001035</t>
  </si>
  <si>
    <t>LP001051</t>
  </si>
  <si>
    <t>Not Graduate</t>
  </si>
  <si>
    <t>LP001054</t>
  </si>
  <si>
    <t>LP001055</t>
  </si>
  <si>
    <t>Female</t>
  </si>
  <si>
    <t>Semiurban</t>
  </si>
  <si>
    <t>LP001056</t>
  </si>
  <si>
    <t>Rural</t>
  </si>
  <si>
    <t>LP001059</t>
  </si>
  <si>
    <t/>
  </si>
  <si>
    <t>LP001067</t>
  </si>
  <si>
    <t>LP001078</t>
  </si>
  <si>
    <t>LP001082</t>
  </si>
  <si>
    <t>LP001083</t>
  </si>
  <si>
    <t>LP001094</t>
  </si>
  <si>
    <t>LP001096</t>
  </si>
  <si>
    <t>LP001099</t>
  </si>
  <si>
    <t>LP001105</t>
  </si>
  <si>
    <t>LP001107</t>
  </si>
  <si>
    <t>LP001108</t>
  </si>
  <si>
    <t>LP001115</t>
  </si>
  <si>
    <t>LP001121</t>
  </si>
  <si>
    <t>LP001124</t>
  </si>
  <si>
    <t>LP001128</t>
  </si>
  <si>
    <t>LP001135</t>
  </si>
  <si>
    <t>LP001149</t>
  </si>
  <si>
    <t>LP001153</t>
  </si>
  <si>
    <t>LP001163</t>
  </si>
  <si>
    <t>LP001169</t>
  </si>
  <si>
    <t>LP001174</t>
  </si>
  <si>
    <t>LP001176</t>
  </si>
  <si>
    <t>LP001177</t>
  </si>
  <si>
    <t>LP001183</t>
  </si>
  <si>
    <t>LP001185</t>
  </si>
  <si>
    <t>LP001187</t>
  </si>
  <si>
    <t>LP001190</t>
  </si>
  <si>
    <t>LP001203</t>
  </si>
  <si>
    <t>LP001208</t>
  </si>
  <si>
    <t>LP001210</t>
  </si>
  <si>
    <t>LP001211</t>
  </si>
  <si>
    <t>LP001219</t>
  </si>
  <si>
    <t>LP001220</t>
  </si>
  <si>
    <t>LP001221</t>
  </si>
  <si>
    <t>LP001226</t>
  </si>
  <si>
    <t>LP001230</t>
  </si>
  <si>
    <t>LP001231</t>
  </si>
  <si>
    <t>LP001232</t>
  </si>
  <si>
    <t>LP001237</t>
  </si>
  <si>
    <t>LP001242</t>
  </si>
  <si>
    <t>LP001268</t>
  </si>
  <si>
    <t>LP001270</t>
  </si>
  <si>
    <t>LP001284</t>
  </si>
  <si>
    <t>LP001287</t>
  </si>
  <si>
    <t>LP001291</t>
  </si>
  <si>
    <t>LP001298</t>
  </si>
  <si>
    <t>LP001312</t>
  </si>
  <si>
    <t>LP001313</t>
  </si>
  <si>
    <t>LP001317</t>
  </si>
  <si>
    <t>LP001321</t>
  </si>
  <si>
    <t>LP001323</t>
  </si>
  <si>
    <t>LP001324</t>
  </si>
  <si>
    <t>LP001332</t>
  </si>
  <si>
    <t>LP001335</t>
  </si>
  <si>
    <t>LP001338</t>
  </si>
  <si>
    <t>LP001347</t>
  </si>
  <si>
    <t>LP001348</t>
  </si>
  <si>
    <t>LP001351</t>
  </si>
  <si>
    <t>LP001352</t>
  </si>
  <si>
    <t>LP001358</t>
  </si>
  <si>
    <t>LP001359</t>
  </si>
  <si>
    <t>LP001361</t>
  </si>
  <si>
    <t>LP001366</t>
  </si>
  <si>
    <t>LP001368</t>
  </si>
  <si>
    <t>LP001375</t>
  </si>
  <si>
    <t>LP001380</t>
  </si>
  <si>
    <t>LP001386</t>
  </si>
  <si>
    <t>LP001400</t>
  </si>
  <si>
    <t>LP001407</t>
  </si>
  <si>
    <t>LP001413</t>
  </si>
  <si>
    <t>LP001415</t>
  </si>
  <si>
    <t>LP001419</t>
  </si>
  <si>
    <t>LP001420</t>
  </si>
  <si>
    <t>LP001428</t>
  </si>
  <si>
    <t>LP001445</t>
  </si>
  <si>
    <t>LP001446</t>
  </si>
  <si>
    <t>LP001450</t>
  </si>
  <si>
    <t>LP001452</t>
  </si>
  <si>
    <t>LP001455</t>
  </si>
  <si>
    <t>LP001466</t>
  </si>
  <si>
    <t>LP001471</t>
  </si>
  <si>
    <t>LP001472</t>
  </si>
  <si>
    <t>LP001475</t>
  </si>
  <si>
    <t>LP001483</t>
  </si>
  <si>
    <t>LP001486</t>
  </si>
  <si>
    <t>LP001490</t>
  </si>
  <si>
    <t>LP001496</t>
  </si>
  <si>
    <t>LP001499</t>
  </si>
  <si>
    <t>LP001500</t>
  </si>
  <si>
    <t>LP001501</t>
  </si>
  <si>
    <t>LP001517</t>
  </si>
  <si>
    <t>LP001527</t>
  </si>
  <si>
    <t>LP001534</t>
  </si>
  <si>
    <t>LP001542</t>
  </si>
  <si>
    <t>LP001547</t>
  </si>
  <si>
    <t>LP001548</t>
  </si>
  <si>
    <t>LP001558</t>
  </si>
  <si>
    <t>LP001561</t>
  </si>
  <si>
    <t>LP001563</t>
  </si>
  <si>
    <t>LP001567</t>
  </si>
  <si>
    <t>LP001568</t>
  </si>
  <si>
    <t>LP001573</t>
  </si>
  <si>
    <t>LP001584</t>
  </si>
  <si>
    <t>LP001587</t>
  </si>
  <si>
    <t>LP001589</t>
  </si>
  <si>
    <t>LP001591</t>
  </si>
  <si>
    <t>LP001599</t>
  </si>
  <si>
    <t>LP001601</t>
  </si>
  <si>
    <t>LP001607</t>
  </si>
  <si>
    <t>LP001611</t>
  </si>
  <si>
    <t>LP001613</t>
  </si>
  <si>
    <t>LP001622</t>
  </si>
  <si>
    <t>LP001627</t>
  </si>
  <si>
    <t>LP001650</t>
  </si>
  <si>
    <t>LP001651</t>
  </si>
  <si>
    <t>LP001652</t>
  </si>
  <si>
    <t>LP001655</t>
  </si>
  <si>
    <t>LP001660</t>
  </si>
  <si>
    <t>LP001662</t>
  </si>
  <si>
    <t>LP001663</t>
  </si>
  <si>
    <t>LP001667</t>
  </si>
  <si>
    <t>LP001695</t>
  </si>
  <si>
    <t>LP001703</t>
  </si>
  <si>
    <t>LP001718</t>
  </si>
  <si>
    <t>LP001728</t>
  </si>
  <si>
    <t>LP001735</t>
  </si>
  <si>
    <t>LP001737</t>
  </si>
  <si>
    <t>LP001739</t>
  </si>
  <si>
    <t>LP001742</t>
  </si>
  <si>
    <t>LP001757</t>
  </si>
  <si>
    <t>LP001769</t>
  </si>
  <si>
    <t>LP001771</t>
  </si>
  <si>
    <t>LP001785</t>
  </si>
  <si>
    <t>LP001787</t>
  </si>
  <si>
    <t>LP001789</t>
  </si>
  <si>
    <t>LP001791</t>
  </si>
  <si>
    <t>LP001794</t>
  </si>
  <si>
    <t>LP001797</t>
  </si>
  <si>
    <t>LP001815</t>
  </si>
  <si>
    <t>LP001817</t>
  </si>
  <si>
    <t>LP001818</t>
  </si>
  <si>
    <t>LP001822</t>
  </si>
  <si>
    <t>LP001827</t>
  </si>
  <si>
    <t>LP001831</t>
  </si>
  <si>
    <t>LP001842</t>
  </si>
  <si>
    <t>LP001853</t>
  </si>
  <si>
    <t>LP001855</t>
  </si>
  <si>
    <t>LP001857</t>
  </si>
  <si>
    <t>LP001862</t>
  </si>
  <si>
    <t>LP001867</t>
  </si>
  <si>
    <t>LP001878</t>
  </si>
  <si>
    <t>LP001881</t>
  </si>
  <si>
    <t>LP001886</t>
  </si>
  <si>
    <t>LP001906</t>
  </si>
  <si>
    <t>LP001909</t>
  </si>
  <si>
    <t>LP001911</t>
  </si>
  <si>
    <t>LP001921</t>
  </si>
  <si>
    <t>LP001923</t>
  </si>
  <si>
    <t>LP001933</t>
  </si>
  <si>
    <t>LP001943</t>
  </si>
  <si>
    <t>LP001950</t>
  </si>
  <si>
    <t>LP001959</t>
  </si>
  <si>
    <t>LP001961</t>
  </si>
  <si>
    <t>LP001973</t>
  </si>
  <si>
    <t>LP001975</t>
  </si>
  <si>
    <t>LP001979</t>
  </si>
  <si>
    <t>LP001995</t>
  </si>
  <si>
    <t>LP001999</t>
  </si>
  <si>
    <t>LP002007</t>
  </si>
  <si>
    <t>LP002009</t>
  </si>
  <si>
    <t>LP002016</t>
  </si>
  <si>
    <t>LP002017</t>
  </si>
  <si>
    <t>LP002018</t>
  </si>
  <si>
    <t>LP002027</t>
  </si>
  <si>
    <t>LP002028</t>
  </si>
  <si>
    <t>LP002042</t>
  </si>
  <si>
    <t>LP002045</t>
  </si>
  <si>
    <t>LP002046</t>
  </si>
  <si>
    <t>LP002047</t>
  </si>
  <si>
    <t>LP002056</t>
  </si>
  <si>
    <t>LP002057</t>
  </si>
  <si>
    <t>LP002059</t>
  </si>
  <si>
    <t>LP002062</t>
  </si>
  <si>
    <t>LP002064</t>
  </si>
  <si>
    <t>LP002069</t>
  </si>
  <si>
    <t>LP002070</t>
  </si>
  <si>
    <t>LP002077</t>
  </si>
  <si>
    <t>LP002083</t>
  </si>
  <si>
    <t>LP002090</t>
  </si>
  <si>
    <t>LP002096</t>
  </si>
  <si>
    <t>LP002099</t>
  </si>
  <si>
    <t>LP002102</t>
  </si>
  <si>
    <t>LP002105</t>
  </si>
  <si>
    <t>LP002107</t>
  </si>
  <si>
    <t>LP002111</t>
  </si>
  <si>
    <t>LP002117</t>
  </si>
  <si>
    <t>LP002118</t>
  </si>
  <si>
    <t>LP002123</t>
  </si>
  <si>
    <t>LP002125</t>
  </si>
  <si>
    <t>LP002148</t>
  </si>
  <si>
    <t>LP002152</t>
  </si>
  <si>
    <t>LP002165</t>
  </si>
  <si>
    <t>LP002167</t>
  </si>
  <si>
    <t>LP002168</t>
  </si>
  <si>
    <t>LP002172</t>
  </si>
  <si>
    <t>LP002176</t>
  </si>
  <si>
    <t>LP002183</t>
  </si>
  <si>
    <t>LP002184</t>
  </si>
  <si>
    <t>LP002186</t>
  </si>
  <si>
    <t>LP002192</t>
  </si>
  <si>
    <t>LP002195</t>
  </si>
  <si>
    <t>LP002208</t>
  </si>
  <si>
    <t>LP002212</t>
  </si>
  <si>
    <t>LP002240</t>
  </si>
  <si>
    <t>LP002245</t>
  </si>
  <si>
    <t>LP002253</t>
  </si>
  <si>
    <t>LP002256</t>
  </si>
  <si>
    <t>LP002257</t>
  </si>
  <si>
    <t>LP002264</t>
  </si>
  <si>
    <t>LP002270</t>
  </si>
  <si>
    <t>LP002279</t>
  </si>
  <si>
    <t>LP002286</t>
  </si>
  <si>
    <t>LP002294</t>
  </si>
  <si>
    <t>LP002298</t>
  </si>
  <si>
    <t>LP002306</t>
  </si>
  <si>
    <t>LP002310</t>
  </si>
  <si>
    <t>LP002311</t>
  </si>
  <si>
    <t>LP002316</t>
  </si>
  <si>
    <t>LP002321</t>
  </si>
  <si>
    <t>LP002325</t>
  </si>
  <si>
    <t>LP002326</t>
  </si>
  <si>
    <t>LP002329</t>
  </si>
  <si>
    <t>LP002333</t>
  </si>
  <si>
    <t>LP002339</t>
  </si>
  <si>
    <t>LP002344</t>
  </si>
  <si>
    <t>LP002346</t>
  </si>
  <si>
    <t>LP002354</t>
  </si>
  <si>
    <t>LP002355</t>
  </si>
  <si>
    <t>LP002358</t>
  </si>
  <si>
    <t>LP002360</t>
  </si>
  <si>
    <t>LP002375</t>
  </si>
  <si>
    <t>LP002376</t>
  </si>
  <si>
    <t>LP002383</t>
  </si>
  <si>
    <t>LP002385</t>
  </si>
  <si>
    <t>LP002389</t>
  </si>
  <si>
    <t>LP002394</t>
  </si>
  <si>
    <t>LP002397</t>
  </si>
  <si>
    <t>LP002399</t>
  </si>
  <si>
    <t>LP002400</t>
  </si>
  <si>
    <t>LP002402</t>
  </si>
  <si>
    <t>LP002412</t>
  </si>
  <si>
    <t>LP002415</t>
  </si>
  <si>
    <t>LP002417</t>
  </si>
  <si>
    <t>LP002420</t>
  </si>
  <si>
    <t>LP002425</t>
  </si>
  <si>
    <t>LP002433</t>
  </si>
  <si>
    <t>LP002440</t>
  </si>
  <si>
    <t>LP002441</t>
  </si>
  <si>
    <t>LP002442</t>
  </si>
  <si>
    <t>LP002445</t>
  </si>
  <si>
    <t>LP002450</t>
  </si>
  <si>
    <t>LP002471</t>
  </si>
  <si>
    <t>LP002476</t>
  </si>
  <si>
    <t>LP002482</t>
  </si>
  <si>
    <t>LP002485</t>
  </si>
  <si>
    <t>LP002495</t>
  </si>
  <si>
    <t>LP002496</t>
  </si>
  <si>
    <t>LP002523</t>
  </si>
  <si>
    <t>LP002542</t>
  </si>
  <si>
    <t>LP002550</t>
  </si>
  <si>
    <t>LP002551</t>
  </si>
  <si>
    <t>LP002553</t>
  </si>
  <si>
    <t>LP002554</t>
  </si>
  <si>
    <t>LP002561</t>
  </si>
  <si>
    <t>LP002566</t>
  </si>
  <si>
    <t>LP002568</t>
  </si>
  <si>
    <t>LP002570</t>
  </si>
  <si>
    <t>LP002572</t>
  </si>
  <si>
    <t>LP002581</t>
  </si>
  <si>
    <t>LP002584</t>
  </si>
  <si>
    <t>LP002592</t>
  </si>
  <si>
    <t>LP002593</t>
  </si>
  <si>
    <t>LP002599</t>
  </si>
  <si>
    <t>LP002604</t>
  </si>
  <si>
    <t>LP002605</t>
  </si>
  <si>
    <t>LP002609</t>
  </si>
  <si>
    <t>LP002610</t>
  </si>
  <si>
    <t>LP002612</t>
  </si>
  <si>
    <t>LP002614</t>
  </si>
  <si>
    <t>LP002630</t>
  </si>
  <si>
    <t>LP002635</t>
  </si>
  <si>
    <t>LP002639</t>
  </si>
  <si>
    <t>LP002644</t>
  </si>
  <si>
    <t>LP002651</t>
  </si>
  <si>
    <t>LP002654</t>
  </si>
  <si>
    <t>LP002657</t>
  </si>
  <si>
    <t>LP002711</t>
  </si>
  <si>
    <t>LP002712</t>
  </si>
  <si>
    <t>LP002721</t>
  </si>
  <si>
    <t>LP002735</t>
  </si>
  <si>
    <t>LP002744</t>
  </si>
  <si>
    <t>LP002745</t>
  </si>
  <si>
    <t>LP002746</t>
  </si>
  <si>
    <t>LP002747</t>
  </si>
  <si>
    <t>LP002754</t>
  </si>
  <si>
    <t>LP002759</t>
  </si>
  <si>
    <t>LP002760</t>
  </si>
  <si>
    <t>LP002766</t>
  </si>
  <si>
    <t>LP002769</t>
  </si>
  <si>
    <t>LP002774</t>
  </si>
  <si>
    <t>LP002775</t>
  </si>
  <si>
    <t>LP002781</t>
  </si>
  <si>
    <t>LP002782</t>
  </si>
  <si>
    <t>LP002786</t>
  </si>
  <si>
    <t>LP002790</t>
  </si>
  <si>
    <t>LP002791</t>
  </si>
  <si>
    <t>LP002793</t>
  </si>
  <si>
    <t>LP002802</t>
  </si>
  <si>
    <t>LP002803</t>
  </si>
  <si>
    <t>LP002805</t>
  </si>
  <si>
    <t>LP002806</t>
  </si>
  <si>
    <t>LP002816</t>
  </si>
  <si>
    <t>LP002823</t>
  </si>
  <si>
    <t>LP002825</t>
  </si>
  <si>
    <t>LP002826</t>
  </si>
  <si>
    <t>LP002843</t>
  </si>
  <si>
    <t>LP002849</t>
  </si>
  <si>
    <t>LP002850</t>
  </si>
  <si>
    <t>LP002853</t>
  </si>
  <si>
    <t>LP002856</t>
  </si>
  <si>
    <t>LP002857</t>
  </si>
  <si>
    <t>LP002858</t>
  </si>
  <si>
    <t>LP002860</t>
  </si>
  <si>
    <t>LP002867</t>
  </si>
  <si>
    <t>LP002869</t>
  </si>
  <si>
    <t>LP002870</t>
  </si>
  <si>
    <t>LP002876</t>
  </si>
  <si>
    <t>LP002878</t>
  </si>
  <si>
    <t>LP002879</t>
  </si>
  <si>
    <t>LP002885</t>
  </si>
  <si>
    <t>LP002890</t>
  </si>
  <si>
    <t>LP002891</t>
  </si>
  <si>
    <t>LP002899</t>
  </si>
  <si>
    <t>LP002901</t>
  </si>
  <si>
    <t>LP002907</t>
  </si>
  <si>
    <t>LP002920</t>
  </si>
  <si>
    <t>LP002921</t>
  </si>
  <si>
    <t>LP002932</t>
  </si>
  <si>
    <t>LP002935</t>
  </si>
  <si>
    <t>LP002952</t>
  </si>
  <si>
    <t>LP002954</t>
  </si>
  <si>
    <t>LP002962</t>
  </si>
  <si>
    <t>LP002965</t>
  </si>
  <si>
    <t>LP002969</t>
  </si>
  <si>
    <t>LP002971</t>
  </si>
  <si>
    <t>LP002975</t>
  </si>
  <si>
    <t>LP002980</t>
  </si>
  <si>
    <t>LP002986</t>
  </si>
  <si>
    <t>LP002989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</si>
</sst>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11">
    <dxf>
      <numFmt numFmtId="0" formatCode="General"/>
      <alignment horizontal="center" vertical="center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1" u="none" strike="noStrike" kern="1200" spc="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'Income_Category': </a:t>
            </a:r>
            <a:r>
              <a:rPr lang="en-US">
                <a:solidFill>
                  <a:srgbClr val="DD5A13"/>
                </a:solidFill>
              </a:rPr>
              <a:t>Very High</a:t>
            </a:r>
            <a:r>
              <a:rPr lang="en-US"/>
              <a:t> has noticeably higher 'ApplicantIncome'.</a:t>
            </a:r>
          </a:p>
        </c:rich>
      </c:tx>
      <c:overlay val="0"/>
      <c:spPr>
        <a:solidFill>
          <a:srgbClr val="000000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1" u="none" strike="noStrike" kern="1200" spc="0" baseline="0">
              <a:solidFill>
                <a:srgbClr val="FF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D2D2D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ED7331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rgbClr val="D2D2D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ED733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4059-41AD-ADB9-A099C7F149D9}"/>
              </c:ext>
            </c:extLst>
          </c:dPt>
          <c:cat>
            <c:strLit>
              <c:ptCount val="4"/>
              <c:pt idx="0">
                <c:v>Very High</c:v>
              </c:pt>
              <c:pt idx="1">
                <c:v>High</c:v>
              </c:pt>
              <c:pt idx="2">
                <c:v>Medium</c:v>
              </c:pt>
              <c:pt idx="3">
                <c:v>Low</c:v>
              </c:pt>
            </c:strLit>
          </c:cat>
          <c:val>
            <c:numLit>
              <c:formatCode>General</c:formatCode>
              <c:ptCount val="4"/>
              <c:pt idx="0">
                <c:v>787875</c:v>
              </c:pt>
              <c:pt idx="1">
                <c:v>388673</c:v>
              </c:pt>
              <c:pt idx="2">
                <c:v>320955</c:v>
              </c:pt>
              <c:pt idx="3">
                <c:v>266152</c:v>
              </c:pt>
            </c:numLit>
          </c:val>
          <c:extLst>
            <c:ext xmlns:c16="http://schemas.microsoft.com/office/drawing/2014/chart" uri="{C3380CC4-5D6E-409C-BE32-E72D297353CC}">
              <c16:uniqueId val="{00000000-4059-41AD-ADB9-A099C7F149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-30"/>
        <c:axId val="1193512608"/>
        <c:axId val="940160112"/>
      </c:barChart>
      <c:catAx>
        <c:axId val="11935126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Income_Category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0160112"/>
        <c:crosses val="autoZero"/>
        <c:auto val="1"/>
        <c:lblAlgn val="ctr"/>
        <c:lblOffset val="100"/>
        <c:noMultiLvlLbl val="0"/>
      </c:catAx>
      <c:valAx>
        <c:axId val="940160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ApplicantIncome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3512608"/>
        <c:crosses val="max"/>
        <c:crossBetween val="between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1" u="none" strike="noStrike" kern="1200" spc="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'Education': </a:t>
            </a:r>
            <a:r>
              <a:rPr lang="en-US">
                <a:solidFill>
                  <a:srgbClr val="DD5A13"/>
                </a:solidFill>
              </a:rPr>
              <a:t>Graduate</a:t>
            </a:r>
            <a:r>
              <a:rPr lang="en-US"/>
              <a:t> accounts for the majority of 'ApplicantIncome'.</a:t>
            </a:r>
          </a:p>
        </c:rich>
      </c:tx>
      <c:overlay val="0"/>
      <c:spPr>
        <a:solidFill>
          <a:srgbClr val="000000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1" u="none" strike="noStrike" kern="1200" spc="0" baseline="0">
              <a:solidFill>
                <a:srgbClr val="FF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D2D2D2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ED733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rgbClr val="D2D2D2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ED733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rgbClr val="D2D2D2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rgbClr val="D2D2D2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ED733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rgbClr val="D2D2D2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v>Total</c:v>
          </c:tx>
          <c:spPr>
            <a:solidFill>
              <a:srgbClr val="D2D2D2"/>
            </a:solidFill>
          </c:spPr>
          <c:dPt>
            <c:idx val="0"/>
            <c:bubble3D val="0"/>
            <c:spPr>
              <a:solidFill>
                <a:srgbClr val="ED733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CE4-4E35-B534-51A93F42B25A}"/>
              </c:ext>
            </c:extLst>
          </c:dPt>
          <c:dPt>
            <c:idx val="1"/>
            <c:bubble3D val="0"/>
            <c:spPr>
              <a:solidFill>
                <a:srgbClr val="D2D2D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CE4-4E35-B534-51A93F42B25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2"/>
              <c:pt idx="0">
                <c:v>Graduate</c:v>
              </c:pt>
              <c:pt idx="1">
                <c:v>Not Graduate</c:v>
              </c:pt>
            </c:strLit>
          </c:cat>
          <c:val>
            <c:numLit>
              <c:formatCode>General</c:formatCode>
              <c:ptCount val="2"/>
              <c:pt idx="0">
                <c:v>1463094</c:v>
              </c:pt>
              <c:pt idx="1">
                <c:v>300561</c:v>
              </c:pt>
            </c:numLit>
          </c:val>
          <c:extLst>
            <c:ext xmlns:c16="http://schemas.microsoft.com/office/drawing/2014/chart" uri="{C3380CC4-5D6E-409C-BE32-E72D297353CC}">
              <c16:uniqueId val="{00000004-6CE4-4E35-B534-51A93F42B2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3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txData>
          <cx:v>Frequency of 'LoanAmount'</cx:v>
        </cx:txData>
      </cx:tx>
      <cx:spPr>
        <a:solidFill>
          <a:srgbClr val="000000"/>
        </a:solidFill>
      </cx:spPr>
      <cx:txPr>
        <a:bodyPr vertOverflow="overflow" horzOverflow="overflow" wrap="square" lIns="0" tIns="0" rIns="0" bIns="0"/>
        <a:lstStyle/>
        <a:p>
          <a:pPr algn="ctr" rtl="0">
            <a:defRPr sz="1400" b="1" i="1">
              <a:solidFill>
                <a:srgbClr val="FF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r>
            <a:rPr b="1" i="1">
              <a:solidFill>
                <a:srgbClr val="FF0000"/>
              </a:solidFill>
            </a:rPr>
            <a:t>Frequency of 'LoanAmount'</a:t>
          </a:r>
        </a:p>
      </cx:txPr>
    </cx:title>
    <cx:plotArea>
      <cx:plotAreaRegion>
        <cx:series layoutId="clusteredColumn" uniqueId="{88B96EB8-9BE5-4B53-A20E-9729EBFFF2DC}">
          <cx:spPr>
            <a:solidFill>
              <a:srgbClr val="595959"/>
            </a:solidFill>
          </cx:spPr>
          <cx:dataId val="0"/>
          <cx:layoutPr>
            <cx:binning intervalClosed="r" overflow="260.00009999999997">
              <cx:binSize val="30"/>
            </cx:binning>
          </cx:layoutPr>
        </cx:series>
      </cx:plotAreaRegion>
      <cx:axis id="0">
        <cx:catScaling gapWidth="0.00329999998"/>
        <cx:title>
          <cx:tx>
            <cx:txData>
              <cx:v>LoanAmount</cx:v>
            </cx:txData>
          </cx:tx>
          <cx:txPr>
            <a:bodyPr vertOverflow="overflow" horzOverflow="overflow" wrap="square" lIns="0" tIns="0" rIns="0" bIns="0"/>
            <a:lstStyle/>
            <a:p>
              <a:pPr algn="ctr" rtl="0">
                <a:defRPr sz="900" b="0" i="0">
                  <a:solidFill>
                    <a:srgbClr val="7F7F7F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r>
                <a:t>LoanAmount</a:t>
              </a:r>
            </a:p>
          </cx:txPr>
        </cx:title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1" i="1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b="1" i="1"/>
          </a:p>
        </cx:txPr>
      </cx:axis>
      <cx:axis id="1">
        <cx:valScaling/>
        <cx:title>
          <cx:tx>
            <cx:txData>
              <cx:v>Frequency</cx:v>
            </cx:txData>
          </cx:tx>
          <cx:txPr>
            <a:bodyPr vertOverflow="overflow" horzOverflow="overflow" wrap="square" lIns="0" tIns="0" rIns="0" bIns="0"/>
            <a:lstStyle/>
            <a:p>
              <a:pPr algn="ctr" rtl="0">
                <a:defRPr sz="900" b="0" i="0">
                  <a:solidFill>
                    <a:srgbClr val="7F7F7F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r>
                <a:t>Frequency</a:t>
              </a:r>
            </a:p>
          </cx:txPr>
        </cx:title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1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b="1" i="0"/>
          </a:p>
        </cx:txPr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Frequency of 'Total Income'</cx:v>
        </cx:txData>
      </cx:tx>
      <cx:spPr>
        <a:solidFill>
          <a:srgbClr val="000000"/>
        </a:solidFill>
      </cx:spPr>
      <cx:txPr>
        <a:bodyPr vertOverflow="overflow" horzOverflow="overflow" wrap="square" lIns="0" tIns="0" rIns="0" bIns="0"/>
        <a:lstStyle/>
        <a:p>
          <a:pPr algn="ctr" rtl="0">
            <a:defRPr sz="1400" b="1" i="1">
              <a:solidFill>
                <a:srgbClr val="FF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r>
            <a:rPr b="1" i="1">
              <a:solidFill>
                <a:srgbClr val="FF0000"/>
              </a:solidFill>
            </a:rPr>
            <a:t>Frequency of 'Total Income'</a:t>
          </a:r>
        </a:p>
      </cx:txPr>
    </cx:title>
    <cx:plotArea>
      <cx:plotAreaRegion>
        <cx:series layoutId="clusteredColumn" uniqueId="{FAE7FD18-DB45-42DE-B568-00F36BF9C60F}">
          <cx:spPr>
            <a:solidFill>
              <a:srgbClr val="595959"/>
            </a:solidFill>
          </cx:spPr>
          <cx:dataId val="0"/>
          <cx:layoutPr>
            <cx:binning intervalClosed="r" overflow="32000.000100000001">
              <cx:binSize val="2500"/>
            </cx:binning>
          </cx:layoutPr>
        </cx:series>
      </cx:plotAreaRegion>
      <cx:axis id="0">
        <cx:catScaling gapWidth="0.00329999998"/>
        <cx:title>
          <cx:tx>
            <cx:txData>
              <cx:v>Total Income</cx:v>
            </cx:txData>
          </cx:tx>
          <cx:txPr>
            <a:bodyPr vertOverflow="overflow" horzOverflow="overflow" wrap="square" lIns="0" tIns="0" rIns="0" bIns="0"/>
            <a:lstStyle/>
            <a:p>
              <a:pPr algn="ctr" rtl="0">
                <a:defRPr sz="900" b="0" i="0">
                  <a:solidFill>
                    <a:srgbClr val="7F7F7F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r>
                <a:t>Total Income</a:t>
              </a:r>
            </a:p>
          </cx:txPr>
        </cx:title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title>
          <cx:tx>
            <cx:txData>
              <cx:v>Frequency</cx:v>
            </cx:txData>
          </cx:tx>
          <cx:txPr>
            <a:bodyPr vertOverflow="overflow" horzOverflow="overflow" wrap="square" lIns="0" tIns="0" rIns="0" bIns="0"/>
            <a:lstStyle/>
            <a:p>
              <a:pPr algn="ctr" rtl="0">
                <a:defRPr sz="900" b="0" i="0">
                  <a:solidFill>
                    <a:srgbClr val="7F7F7F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r>
                <a:t>Frequency</a:t>
              </a:r>
            </a:p>
          </cx:txPr>
        </cx:title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2.xml"/><Relationship Id="rId2" Type="http://schemas.microsoft.com/office/2014/relationships/chartEx" Target="../charts/chartEx1.xml"/><Relationship Id="rId1" Type="http://schemas.openxmlformats.org/officeDocument/2006/relationships/chart" Target="../charts/chart1.xml"/><Relationship Id="rId4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66675</xdr:colOff>
      <xdr:row>2</xdr:row>
      <xdr:rowOff>142875</xdr:rowOff>
    </xdr:from>
    <xdr:to>
      <xdr:col>4</xdr:col>
      <xdr:colOff>590550</xdr:colOff>
      <xdr:row>17</xdr:row>
      <xdr:rowOff>28575</xdr:rowOff>
    </xdr:to>
    <xdr:graphicFrame macro="">
      <xdr:nvGraphicFramePr>
        <xdr:cNvPr id="2" name="Chart 1" descr="Chart type: Clustered Bar. 'Income_Category': Very High has noticeably higher 'ApplicantIncome'.&#10;&#10;Description automatically generated">
          <a:extLst>
            <a:ext uri="{FF2B5EF4-FFF2-40B4-BE49-F238E27FC236}">
              <a16:creationId xmlns:a16="http://schemas.microsoft.com/office/drawing/2014/main" id="{BEB9A143-BF6F-2AE5-F27A-09BD7C94BD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18</xdr:row>
      <xdr:rowOff>19050</xdr:rowOff>
    </xdr:from>
    <xdr:to>
      <xdr:col>4</xdr:col>
      <xdr:colOff>517115</xdr:colOff>
      <xdr:row>32</xdr:row>
      <xdr:rowOff>95250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 descr="Chart type: Histogram. Frequency of 'LoanAmount'&#10;&#10;Description automatically generated">
              <a:extLst>
                <a:ext uri="{FF2B5EF4-FFF2-40B4-BE49-F238E27FC236}">
                  <a16:creationId xmlns:a16="http://schemas.microsoft.com/office/drawing/2014/main" id="{7D06E393-E6B4-461A-A807-A17DA32E84EA}"/>
                </a:ext>
                <a:ext uri="{147F2762-F138-4A5C-976F-8EAC2B608ADB}">
                  <a16:predDERef xmlns:a16="http://schemas.microsoft.com/office/drawing/2014/main" pred="{BEB9A143-BF6F-2AE5-F27A-09BD7C94BD7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6</xdr:col>
      <xdr:colOff>47625</xdr:colOff>
      <xdr:row>2</xdr:row>
      <xdr:rowOff>142875</xdr:rowOff>
    </xdr:from>
    <xdr:to>
      <xdr:col>13</xdr:col>
      <xdr:colOff>345665</xdr:colOff>
      <xdr:row>17</xdr:row>
      <xdr:rowOff>28575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 descr="Chart type: Histogram. Frequency of 'Total Income'&#10;&#10;Description automatically generated">
              <a:extLst>
                <a:ext uri="{FF2B5EF4-FFF2-40B4-BE49-F238E27FC236}">
                  <a16:creationId xmlns:a16="http://schemas.microsoft.com/office/drawing/2014/main" id="{618595D8-0E2D-4791-9411-F43C47E1DF5C}"/>
                </a:ext>
                <a:ext uri="{147F2762-F138-4A5C-976F-8EAC2B608ADB}">
                  <a16:predDERef xmlns:a16="http://schemas.microsoft.com/office/drawing/2014/main" pred="{7D06E393-E6B4-461A-A807-A17DA32E84E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314950" y="523875"/>
              <a:ext cx="456524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6</xdr:col>
      <xdr:colOff>47625</xdr:colOff>
      <xdr:row>17</xdr:row>
      <xdr:rowOff>161925</xdr:rowOff>
    </xdr:from>
    <xdr:to>
      <xdr:col>13</xdr:col>
      <xdr:colOff>352425</xdr:colOff>
      <xdr:row>32</xdr:row>
      <xdr:rowOff>47625</xdr:rowOff>
    </xdr:to>
    <xdr:graphicFrame macro="">
      <xdr:nvGraphicFramePr>
        <xdr:cNvPr id="5" name="Chart 4" descr="Chart type: Doughnut. 'Education': Graduate accounts for the majority of 'ApplicantIncome'.&#10;&#10;Description automatically generated">
          <a:extLst>
            <a:ext uri="{FF2B5EF4-FFF2-40B4-BE49-F238E27FC236}">
              <a16:creationId xmlns:a16="http://schemas.microsoft.com/office/drawing/2014/main" id="{FE98621A-0A15-484E-A52D-C6AB0E433DED}"/>
            </a:ext>
            <a:ext uri="{147F2762-F138-4A5C-976F-8EAC2B608ADB}">
              <a16:predDERef xmlns:a16="http://schemas.microsoft.com/office/drawing/2014/main" pred="{618595D8-0E2D-4791-9411-F43C47E1DF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47FFC2E-DB63-401A-9F35-326498F754E4}" autoFormatId="16" applyNumberFormats="0" applyBorderFormats="0" applyFontFormats="0" applyPatternFormats="0" applyAlignmentFormats="0" applyWidthHeightFormats="0">
  <queryTableRefresh nextId="40" unboundColumnsRight="5">
    <queryTableFields count="17">
      <queryTableField id="1" name="Loan_ID" tableColumnId="1"/>
      <queryTableField id="2" name="Gender" tableColumnId="2"/>
      <queryTableField id="3" name="Married" tableColumnId="3"/>
      <queryTableField id="4" name="Dependents" tableColumnId="4"/>
      <queryTableField id="5" name="Education" tableColumnId="5"/>
      <queryTableField id="6" name="Self_Employed" tableColumnId="6"/>
      <queryTableField id="7" name="ApplicantIncome" tableColumnId="7"/>
      <queryTableField id="8" name="CoapplicantIncome" tableColumnId="8"/>
      <queryTableField id="9" name="LoanAmount" tableColumnId="9"/>
      <queryTableField id="10" name="Loan_Amount_Term" tableColumnId="10"/>
      <queryTableField id="11" name="Credit_History" tableColumnId="11"/>
      <queryTableField id="12" name="Property_Area" tableColumnId="12"/>
      <queryTableField id="17" dataBound="0" tableColumnId="17"/>
      <queryTableField id="35" dataBound="0" tableColumnId="35"/>
      <queryTableField id="37" dataBound="0" tableColumnId="37"/>
      <queryTableField id="38" dataBound="0" tableColumnId="38"/>
      <queryTableField id="39" dataBound="0" tableColumnId="3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C3065EE-8188-439F-8723-C431C859E348}" name="test_Y3wMUE5_7gLdaTN_1" displayName="test_Y3wMUE5_7gLdaTN_1" ref="A1:Q368" tableType="queryTable" totalsRowShown="0">
  <autoFilter ref="A1:Q368" xr:uid="{BC3065EE-8188-439F-8723-C431C859E348}"/>
  <tableColumns count="17">
    <tableColumn id="1" xr3:uid="{1DAA3D75-671F-4D28-B034-2BAA053F83B9}" uniqueName="1" name="LoanID" queryTableFieldId="1" dataDxfId="10"/>
    <tableColumn id="2" xr3:uid="{DAFD91EE-AE8B-4037-A962-810FF73EB586}" uniqueName="2" name="Gender" queryTableFieldId="2" dataDxfId="9"/>
    <tableColumn id="3" xr3:uid="{FA85E9DC-C175-44A9-9696-CE62654E860C}" uniqueName="3" name="Married" queryTableFieldId="3" dataDxfId="8"/>
    <tableColumn id="4" xr3:uid="{3402F41E-D280-477A-8BD6-6B0E2F1BD19E}" uniqueName="4" name="Dependents" queryTableFieldId="4"/>
    <tableColumn id="5" xr3:uid="{447FC369-3399-4A48-A250-63899C079EFE}" uniqueName="5" name="Education" queryTableFieldId="5" dataDxfId="7"/>
    <tableColumn id="6" xr3:uid="{F06580D6-CFB9-4FA0-BB94-94F6C91D858A}" uniqueName="6" name="Self_Employed" queryTableFieldId="6" dataDxfId="6"/>
    <tableColumn id="7" xr3:uid="{CC0358DC-3161-4B6D-90C6-BD79C14AC8AD}" uniqueName="7" name="ApplicantIncome" queryTableFieldId="7"/>
    <tableColumn id="8" xr3:uid="{BCAB30A7-85BB-4202-A49F-F608CC9423E0}" uniqueName="8" name="CoapplicantIncome" queryTableFieldId="8"/>
    <tableColumn id="9" xr3:uid="{20FB2255-A563-4882-9FE1-31C2E31845DA}" uniqueName="9" name="LoanAmount" queryTableFieldId="9"/>
    <tableColumn id="10" xr3:uid="{1380B235-EFDC-4124-B346-38C769988C8B}" uniqueName="10" name="Loan_Amount_Term" queryTableFieldId="10"/>
    <tableColumn id="11" xr3:uid="{61A1B45E-56E5-4678-8B51-CE6E81D13AD3}" uniqueName="11" name="Credit_History" queryTableFieldId="11"/>
    <tableColumn id="12" xr3:uid="{6079D46C-4919-4D1D-BE97-6FEE81355695}" uniqueName="12" name="Property_Area" queryTableFieldId="12" dataDxfId="5"/>
    <tableColumn id="17" xr3:uid="{7C6D5BD0-75EB-4E9F-AC82-60B510A07407}" uniqueName="17" name="Total Income" queryTableFieldId="17" dataDxfId="4">
      <calculatedColumnFormula>G2 + H2</calculatedColumnFormula>
    </tableColumn>
    <tableColumn id="35" xr3:uid="{602C5E08-65B8-4349-9EFF-E056906D0861}" uniqueName="35" name="Q1_25%" queryTableFieldId="35" dataDxfId="3">
      <calculatedColumnFormula>PERCENTILE(M:M,0.25)</calculatedColumnFormula>
    </tableColumn>
    <tableColumn id="37" xr3:uid="{D494CA32-7569-4EAE-9BD7-A783BA327E4D}" uniqueName="37" name="Q2_50%" queryTableFieldId="37" dataDxfId="2">
      <calculatedColumnFormula>PERCENTILE(M:M,0.5)</calculatedColumnFormula>
    </tableColumn>
    <tableColumn id="38" xr3:uid="{DA52DE54-0CE8-4BC1-96EF-7D7607E867A4}" uniqueName="38" name="Q3_75%" queryTableFieldId="38" dataDxfId="1">
      <calculatedColumnFormula>PERCENTILE(M:M,0.75)</calculatedColumnFormula>
    </tableColumn>
    <tableColumn id="39" xr3:uid="{AA1B47BC-691E-46BF-9FF5-2DC685F292EC}" uniqueName="39" name="Income_Category" queryTableFieldId="39" dataDxfId="0">
      <calculatedColumnFormula>IF(M2&lt;$N$2,"Low",IF(M2&lt;$O$2,"Medium",IF(M2&lt;$P$2,"High","Very High")))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1FC9E-BDE9-47FA-A455-DD7A7B787FC9}">
  <dimension ref="A1:Q368"/>
  <sheetViews>
    <sheetView tabSelected="1" zoomScale="124" zoomScaleNormal="124" workbookViewId="0">
      <selection activeCell="G14" sqref="G14"/>
    </sheetView>
  </sheetViews>
  <sheetFormatPr defaultRowHeight="15"/>
  <cols>
    <col min="1" max="1" width="9.7109375" bestFit="1" customWidth="1"/>
    <col min="2" max="2" width="10" bestFit="1" customWidth="1"/>
    <col min="3" max="3" width="10.28515625" bestFit="1" customWidth="1"/>
    <col min="4" max="4" width="14.28515625" bestFit="1" customWidth="1"/>
    <col min="5" max="5" width="12.7109375" bestFit="1" customWidth="1"/>
    <col min="6" max="6" width="16.7109375" bestFit="1" customWidth="1"/>
    <col min="7" max="7" width="18.7109375" bestFit="1" customWidth="1"/>
    <col min="8" max="8" width="21.28515625" bestFit="1" customWidth="1"/>
    <col min="9" max="9" width="14.7109375" bestFit="1" customWidth="1"/>
    <col min="10" max="10" width="21.140625" bestFit="1" customWidth="1"/>
    <col min="11" max="11" width="16.28515625" bestFit="1" customWidth="1"/>
    <col min="12" max="12" width="16" bestFit="1" customWidth="1"/>
    <col min="13" max="13" width="14.85546875" bestFit="1" customWidth="1"/>
    <col min="14" max="16" width="10.5703125" bestFit="1" customWidth="1"/>
    <col min="17" max="17" width="19.140625" style="1" bestFit="1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s="1" t="s">
        <v>16</v>
      </c>
    </row>
    <row r="2" spans="1:17">
      <c r="A2" t="s">
        <v>17</v>
      </c>
      <c r="B2" t="s">
        <v>18</v>
      </c>
      <c r="C2" t="s">
        <v>19</v>
      </c>
      <c r="D2">
        <v>0</v>
      </c>
      <c r="E2" t="s">
        <v>20</v>
      </c>
      <c r="F2" t="s">
        <v>21</v>
      </c>
      <c r="G2">
        <v>5720</v>
      </c>
      <c r="H2">
        <v>0</v>
      </c>
      <c r="I2">
        <v>110</v>
      </c>
      <c r="J2">
        <v>360</v>
      </c>
      <c r="K2">
        <v>1</v>
      </c>
      <c r="L2" t="s">
        <v>22</v>
      </c>
      <c r="M2">
        <f t="shared" ref="M2:M65" si="0">G2 + H2</f>
        <v>5720</v>
      </c>
      <c r="N2">
        <f t="shared" ref="N2:N65" si="1">PERCENTILE(M:M,0.25)</f>
        <v>4156</v>
      </c>
      <c r="O2">
        <f t="shared" ref="O2:O65" si="2">PERCENTILE(M:M,0.5)</f>
        <v>5205</v>
      </c>
      <c r="P2">
        <f t="shared" ref="P2:P65" si="3">PERCENTILE(M:M,0.75)</f>
        <v>6980</v>
      </c>
      <c r="Q2" s="1" t="str">
        <f t="shared" ref="Q2:Q65" si="4">IF(M2&lt;$N$2,"Low",IF(M2&lt;$O$2,"Medium",IF(M2&lt;$P$2,"High","Very High")))</f>
        <v>High</v>
      </c>
    </row>
    <row r="3" spans="1:17">
      <c r="A3" t="s">
        <v>23</v>
      </c>
      <c r="B3" t="s">
        <v>18</v>
      </c>
      <c r="C3" t="s">
        <v>19</v>
      </c>
      <c r="D3">
        <v>1</v>
      </c>
      <c r="E3" t="s">
        <v>20</v>
      </c>
      <c r="F3" t="s">
        <v>21</v>
      </c>
      <c r="G3">
        <v>3076</v>
      </c>
      <c r="H3">
        <v>1500</v>
      </c>
      <c r="I3">
        <v>126</v>
      </c>
      <c r="J3">
        <v>360</v>
      </c>
      <c r="K3">
        <v>1</v>
      </c>
      <c r="L3" t="s">
        <v>22</v>
      </c>
      <c r="M3">
        <f t="shared" si="0"/>
        <v>4576</v>
      </c>
      <c r="N3">
        <f>PERCENTILE(M:M,0.25)</f>
        <v>4156</v>
      </c>
      <c r="O3">
        <f t="shared" si="2"/>
        <v>5205</v>
      </c>
      <c r="P3">
        <f t="shared" si="3"/>
        <v>6980</v>
      </c>
      <c r="Q3" s="1" t="str">
        <f t="shared" si="4"/>
        <v>Medium</v>
      </c>
    </row>
    <row r="4" spans="1:17">
      <c r="A4" t="s">
        <v>24</v>
      </c>
      <c r="B4" t="s">
        <v>18</v>
      </c>
      <c r="C4" t="s">
        <v>19</v>
      </c>
      <c r="D4">
        <v>2</v>
      </c>
      <c r="E4" t="s">
        <v>20</v>
      </c>
      <c r="F4" t="s">
        <v>21</v>
      </c>
      <c r="G4">
        <v>5000</v>
      </c>
      <c r="H4">
        <v>1800</v>
      </c>
      <c r="I4">
        <v>208</v>
      </c>
      <c r="J4">
        <v>360</v>
      </c>
      <c r="K4">
        <v>1</v>
      </c>
      <c r="L4" t="s">
        <v>22</v>
      </c>
      <c r="M4">
        <f t="shared" si="0"/>
        <v>6800</v>
      </c>
      <c r="N4">
        <f t="shared" si="1"/>
        <v>4156</v>
      </c>
      <c r="O4">
        <f t="shared" si="2"/>
        <v>5205</v>
      </c>
      <c r="P4">
        <f t="shared" si="3"/>
        <v>6980</v>
      </c>
      <c r="Q4" s="1" t="str">
        <f t="shared" si="4"/>
        <v>High</v>
      </c>
    </row>
    <row r="5" spans="1:17">
      <c r="A5" t="s">
        <v>25</v>
      </c>
      <c r="B5" t="s">
        <v>18</v>
      </c>
      <c r="C5" t="s">
        <v>19</v>
      </c>
      <c r="D5">
        <v>2</v>
      </c>
      <c r="E5" t="s">
        <v>20</v>
      </c>
      <c r="F5" t="s">
        <v>21</v>
      </c>
      <c r="G5">
        <v>2340</v>
      </c>
      <c r="H5">
        <v>2546</v>
      </c>
      <c r="I5">
        <v>100</v>
      </c>
      <c r="J5">
        <v>360</v>
      </c>
      <c r="L5" t="s">
        <v>22</v>
      </c>
      <c r="M5">
        <f t="shared" si="0"/>
        <v>4886</v>
      </c>
      <c r="N5">
        <f t="shared" si="1"/>
        <v>4156</v>
      </c>
      <c r="O5">
        <f t="shared" si="2"/>
        <v>5205</v>
      </c>
      <c r="P5">
        <f t="shared" si="3"/>
        <v>6980</v>
      </c>
      <c r="Q5" s="1" t="str">
        <f t="shared" si="4"/>
        <v>Medium</v>
      </c>
    </row>
    <row r="6" spans="1:17">
      <c r="A6" t="s">
        <v>26</v>
      </c>
      <c r="B6" t="s">
        <v>18</v>
      </c>
      <c r="C6" t="s">
        <v>21</v>
      </c>
      <c r="D6">
        <v>0</v>
      </c>
      <c r="E6" t="s">
        <v>27</v>
      </c>
      <c r="F6" t="s">
        <v>21</v>
      </c>
      <c r="G6">
        <v>3276</v>
      </c>
      <c r="H6">
        <v>0</v>
      </c>
      <c r="I6">
        <v>78</v>
      </c>
      <c r="J6">
        <v>360</v>
      </c>
      <c r="K6">
        <v>1</v>
      </c>
      <c r="L6" t="s">
        <v>22</v>
      </c>
      <c r="M6">
        <f t="shared" si="0"/>
        <v>3276</v>
      </c>
      <c r="N6">
        <f t="shared" si="1"/>
        <v>4156</v>
      </c>
      <c r="O6">
        <f t="shared" si="2"/>
        <v>5205</v>
      </c>
      <c r="P6">
        <f t="shared" si="3"/>
        <v>6980</v>
      </c>
      <c r="Q6" s="1" t="str">
        <f t="shared" si="4"/>
        <v>Low</v>
      </c>
    </row>
    <row r="7" spans="1:17">
      <c r="A7" t="s">
        <v>28</v>
      </c>
      <c r="B7" t="s">
        <v>18</v>
      </c>
      <c r="C7" t="s">
        <v>19</v>
      </c>
      <c r="D7">
        <v>0</v>
      </c>
      <c r="E7" t="s">
        <v>27</v>
      </c>
      <c r="F7" t="s">
        <v>19</v>
      </c>
      <c r="G7">
        <v>2165</v>
      </c>
      <c r="H7">
        <v>3422</v>
      </c>
      <c r="I7">
        <v>152</v>
      </c>
      <c r="J7">
        <v>360</v>
      </c>
      <c r="K7">
        <v>1</v>
      </c>
      <c r="L7" t="s">
        <v>22</v>
      </c>
      <c r="M7">
        <f t="shared" si="0"/>
        <v>5587</v>
      </c>
      <c r="N7">
        <f t="shared" si="1"/>
        <v>4156</v>
      </c>
      <c r="O7">
        <f t="shared" si="2"/>
        <v>5205</v>
      </c>
      <c r="P7">
        <f t="shared" si="3"/>
        <v>6980</v>
      </c>
      <c r="Q7" s="1" t="str">
        <f t="shared" si="4"/>
        <v>High</v>
      </c>
    </row>
    <row r="8" spans="1:17">
      <c r="A8" t="s">
        <v>29</v>
      </c>
      <c r="B8" t="s">
        <v>30</v>
      </c>
      <c r="C8" t="s">
        <v>21</v>
      </c>
      <c r="D8">
        <v>1</v>
      </c>
      <c r="E8" t="s">
        <v>27</v>
      </c>
      <c r="F8" t="s">
        <v>21</v>
      </c>
      <c r="G8">
        <v>2226</v>
      </c>
      <c r="H8">
        <v>0</v>
      </c>
      <c r="I8">
        <v>59</v>
      </c>
      <c r="J8">
        <v>360</v>
      </c>
      <c r="K8">
        <v>1</v>
      </c>
      <c r="L8" t="s">
        <v>31</v>
      </c>
      <c r="M8">
        <f t="shared" si="0"/>
        <v>2226</v>
      </c>
      <c r="N8">
        <f t="shared" si="1"/>
        <v>4156</v>
      </c>
      <c r="O8">
        <f t="shared" si="2"/>
        <v>5205</v>
      </c>
      <c r="P8">
        <f t="shared" si="3"/>
        <v>6980</v>
      </c>
      <c r="Q8" s="1" t="str">
        <f t="shared" si="4"/>
        <v>Low</v>
      </c>
    </row>
    <row r="9" spans="1:17">
      <c r="A9" t="s">
        <v>32</v>
      </c>
      <c r="B9" t="s">
        <v>18</v>
      </c>
      <c r="C9" t="s">
        <v>19</v>
      </c>
      <c r="D9">
        <v>2</v>
      </c>
      <c r="E9" t="s">
        <v>27</v>
      </c>
      <c r="F9" t="s">
        <v>21</v>
      </c>
      <c r="G9">
        <v>3881</v>
      </c>
      <c r="H9">
        <v>0</v>
      </c>
      <c r="I9">
        <v>147</v>
      </c>
      <c r="J9">
        <v>360</v>
      </c>
      <c r="K9">
        <v>0</v>
      </c>
      <c r="L9" t="s">
        <v>33</v>
      </c>
      <c r="M9">
        <f t="shared" si="0"/>
        <v>3881</v>
      </c>
      <c r="N9">
        <f t="shared" si="1"/>
        <v>4156</v>
      </c>
      <c r="O9">
        <f t="shared" si="2"/>
        <v>5205</v>
      </c>
      <c r="P9">
        <f t="shared" si="3"/>
        <v>6980</v>
      </c>
      <c r="Q9" s="1" t="str">
        <f t="shared" si="4"/>
        <v>Low</v>
      </c>
    </row>
    <row r="10" spans="1:17">
      <c r="A10" t="s">
        <v>34</v>
      </c>
      <c r="B10" t="s">
        <v>18</v>
      </c>
      <c r="C10" t="s">
        <v>19</v>
      </c>
      <c r="D10">
        <v>2</v>
      </c>
      <c r="E10" t="s">
        <v>20</v>
      </c>
      <c r="F10" t="s">
        <v>35</v>
      </c>
      <c r="G10">
        <v>13633</v>
      </c>
      <c r="H10">
        <v>0</v>
      </c>
      <c r="I10">
        <v>280</v>
      </c>
      <c r="J10">
        <v>240</v>
      </c>
      <c r="K10">
        <v>1</v>
      </c>
      <c r="L10" t="s">
        <v>22</v>
      </c>
      <c r="M10">
        <f t="shared" si="0"/>
        <v>13633</v>
      </c>
      <c r="N10">
        <f t="shared" si="1"/>
        <v>4156</v>
      </c>
      <c r="O10">
        <f t="shared" si="2"/>
        <v>5205</v>
      </c>
      <c r="P10">
        <f t="shared" si="3"/>
        <v>6980</v>
      </c>
      <c r="Q10" s="1" t="str">
        <f t="shared" si="4"/>
        <v>Very High</v>
      </c>
    </row>
    <row r="11" spans="1:17">
      <c r="A11" t="s">
        <v>36</v>
      </c>
      <c r="B11" t="s">
        <v>18</v>
      </c>
      <c r="C11" t="s">
        <v>21</v>
      </c>
      <c r="D11">
        <v>0</v>
      </c>
      <c r="E11" t="s">
        <v>27</v>
      </c>
      <c r="F11" t="s">
        <v>21</v>
      </c>
      <c r="G11">
        <v>2400</v>
      </c>
      <c r="H11">
        <v>2400</v>
      </c>
      <c r="I11">
        <v>123</v>
      </c>
      <c r="J11">
        <v>360</v>
      </c>
      <c r="K11">
        <v>1</v>
      </c>
      <c r="L11" t="s">
        <v>31</v>
      </c>
      <c r="M11">
        <f t="shared" si="0"/>
        <v>4800</v>
      </c>
      <c r="N11">
        <f t="shared" si="1"/>
        <v>4156</v>
      </c>
      <c r="O11">
        <f t="shared" si="2"/>
        <v>5205</v>
      </c>
      <c r="P11">
        <f t="shared" si="3"/>
        <v>6980</v>
      </c>
      <c r="Q11" s="1" t="str">
        <f t="shared" si="4"/>
        <v>Medium</v>
      </c>
    </row>
    <row r="12" spans="1:17">
      <c r="A12" t="s">
        <v>37</v>
      </c>
      <c r="B12" t="s">
        <v>18</v>
      </c>
      <c r="C12" t="s">
        <v>21</v>
      </c>
      <c r="D12">
        <v>0</v>
      </c>
      <c r="E12" t="s">
        <v>27</v>
      </c>
      <c r="F12" t="s">
        <v>21</v>
      </c>
      <c r="G12">
        <v>3091</v>
      </c>
      <c r="H12">
        <v>0</v>
      </c>
      <c r="I12">
        <v>90</v>
      </c>
      <c r="J12">
        <v>360</v>
      </c>
      <c r="K12">
        <v>1</v>
      </c>
      <c r="L12" t="s">
        <v>22</v>
      </c>
      <c r="M12">
        <f t="shared" si="0"/>
        <v>3091</v>
      </c>
      <c r="N12">
        <f t="shared" si="1"/>
        <v>4156</v>
      </c>
      <c r="O12">
        <f t="shared" si="2"/>
        <v>5205</v>
      </c>
      <c r="P12">
        <f t="shared" si="3"/>
        <v>6980</v>
      </c>
      <c r="Q12" s="1" t="str">
        <f t="shared" si="4"/>
        <v>Low</v>
      </c>
    </row>
    <row r="13" spans="1:17">
      <c r="A13" t="s">
        <v>38</v>
      </c>
      <c r="B13" t="s">
        <v>18</v>
      </c>
      <c r="C13" t="s">
        <v>19</v>
      </c>
      <c r="D13">
        <v>1</v>
      </c>
      <c r="E13" t="s">
        <v>20</v>
      </c>
      <c r="F13" t="s">
        <v>35</v>
      </c>
      <c r="G13">
        <v>2185</v>
      </c>
      <c r="H13">
        <v>1516</v>
      </c>
      <c r="I13">
        <v>162</v>
      </c>
      <c r="J13">
        <v>360</v>
      </c>
      <c r="K13">
        <v>1</v>
      </c>
      <c r="L13" t="s">
        <v>31</v>
      </c>
      <c r="M13">
        <f t="shared" si="0"/>
        <v>3701</v>
      </c>
      <c r="N13">
        <f t="shared" si="1"/>
        <v>4156</v>
      </c>
      <c r="O13">
        <f t="shared" si="2"/>
        <v>5205</v>
      </c>
      <c r="P13">
        <f t="shared" si="3"/>
        <v>6980</v>
      </c>
      <c r="Q13" s="1" t="str">
        <f t="shared" si="4"/>
        <v>Low</v>
      </c>
    </row>
    <row r="14" spans="1:17">
      <c r="A14" t="s">
        <v>39</v>
      </c>
      <c r="B14" t="s">
        <v>18</v>
      </c>
      <c r="C14" t="s">
        <v>21</v>
      </c>
      <c r="D14">
        <v>3</v>
      </c>
      <c r="E14" t="s">
        <v>20</v>
      </c>
      <c r="F14" t="s">
        <v>21</v>
      </c>
      <c r="G14">
        <v>4166</v>
      </c>
      <c r="H14">
        <v>0</v>
      </c>
      <c r="I14">
        <v>40</v>
      </c>
      <c r="J14">
        <v>180</v>
      </c>
      <c r="L14" t="s">
        <v>22</v>
      </c>
      <c r="M14">
        <f t="shared" si="0"/>
        <v>4166</v>
      </c>
      <c r="N14">
        <f t="shared" si="1"/>
        <v>4156</v>
      </c>
      <c r="O14">
        <f t="shared" si="2"/>
        <v>5205</v>
      </c>
      <c r="P14">
        <f t="shared" si="3"/>
        <v>6980</v>
      </c>
      <c r="Q14" s="1" t="str">
        <f t="shared" si="4"/>
        <v>Medium</v>
      </c>
    </row>
    <row r="15" spans="1:17">
      <c r="A15" t="s">
        <v>40</v>
      </c>
      <c r="B15" t="s">
        <v>18</v>
      </c>
      <c r="C15" t="s">
        <v>19</v>
      </c>
      <c r="D15">
        <v>2</v>
      </c>
      <c r="E15" t="s">
        <v>20</v>
      </c>
      <c r="F15" t="s">
        <v>35</v>
      </c>
      <c r="G15">
        <v>12173</v>
      </c>
      <c r="H15">
        <v>0</v>
      </c>
      <c r="I15">
        <v>166</v>
      </c>
      <c r="J15">
        <v>360</v>
      </c>
      <c r="K15">
        <v>0</v>
      </c>
      <c r="L15" t="s">
        <v>31</v>
      </c>
      <c r="M15">
        <f t="shared" si="0"/>
        <v>12173</v>
      </c>
      <c r="N15">
        <f t="shared" si="1"/>
        <v>4156</v>
      </c>
      <c r="O15">
        <f t="shared" si="2"/>
        <v>5205</v>
      </c>
      <c r="P15">
        <f t="shared" si="3"/>
        <v>6980</v>
      </c>
      <c r="Q15" s="1" t="str">
        <f t="shared" si="4"/>
        <v>Very High</v>
      </c>
    </row>
    <row r="16" spans="1:17">
      <c r="A16" t="s">
        <v>41</v>
      </c>
      <c r="B16" t="s">
        <v>30</v>
      </c>
      <c r="C16" t="s">
        <v>21</v>
      </c>
      <c r="D16">
        <v>0</v>
      </c>
      <c r="E16" t="s">
        <v>20</v>
      </c>
      <c r="F16" t="s">
        <v>21</v>
      </c>
      <c r="G16">
        <v>4666</v>
      </c>
      <c r="H16">
        <v>0</v>
      </c>
      <c r="I16">
        <v>124</v>
      </c>
      <c r="J16">
        <v>360</v>
      </c>
      <c r="K16">
        <v>1</v>
      </c>
      <c r="L16" t="s">
        <v>31</v>
      </c>
      <c r="M16">
        <f t="shared" si="0"/>
        <v>4666</v>
      </c>
      <c r="N16">
        <f t="shared" si="1"/>
        <v>4156</v>
      </c>
      <c r="O16">
        <f t="shared" si="2"/>
        <v>5205</v>
      </c>
      <c r="P16">
        <f t="shared" si="3"/>
        <v>6980</v>
      </c>
      <c r="Q16" s="1" t="str">
        <f t="shared" si="4"/>
        <v>Medium</v>
      </c>
    </row>
    <row r="17" spans="1:17">
      <c r="A17" t="s">
        <v>42</v>
      </c>
      <c r="B17" t="s">
        <v>18</v>
      </c>
      <c r="C17" t="s">
        <v>21</v>
      </c>
      <c r="D17">
        <v>1</v>
      </c>
      <c r="E17" t="s">
        <v>20</v>
      </c>
      <c r="F17" t="s">
        <v>21</v>
      </c>
      <c r="G17">
        <v>5667</v>
      </c>
      <c r="H17">
        <v>0</v>
      </c>
      <c r="I17">
        <v>131</v>
      </c>
      <c r="J17">
        <v>360</v>
      </c>
      <c r="K17">
        <v>1</v>
      </c>
      <c r="L17" t="s">
        <v>22</v>
      </c>
      <c r="M17">
        <f t="shared" si="0"/>
        <v>5667</v>
      </c>
      <c r="N17">
        <f t="shared" si="1"/>
        <v>4156</v>
      </c>
      <c r="O17">
        <f t="shared" si="2"/>
        <v>5205</v>
      </c>
      <c r="P17">
        <f t="shared" si="3"/>
        <v>6980</v>
      </c>
      <c r="Q17" s="1" t="str">
        <f t="shared" si="4"/>
        <v>High</v>
      </c>
    </row>
    <row r="18" spans="1:17">
      <c r="A18" t="s">
        <v>43</v>
      </c>
      <c r="B18" t="s">
        <v>18</v>
      </c>
      <c r="C18" t="s">
        <v>19</v>
      </c>
      <c r="D18">
        <v>2</v>
      </c>
      <c r="E18" t="s">
        <v>20</v>
      </c>
      <c r="F18" t="s">
        <v>21</v>
      </c>
      <c r="G18">
        <v>4583</v>
      </c>
      <c r="H18">
        <v>2916</v>
      </c>
      <c r="I18">
        <v>200</v>
      </c>
      <c r="J18">
        <v>360</v>
      </c>
      <c r="K18">
        <v>1</v>
      </c>
      <c r="L18" t="s">
        <v>22</v>
      </c>
      <c r="M18">
        <f t="shared" si="0"/>
        <v>7499</v>
      </c>
      <c r="N18">
        <f t="shared" si="1"/>
        <v>4156</v>
      </c>
      <c r="O18">
        <f t="shared" si="2"/>
        <v>5205</v>
      </c>
      <c r="P18">
        <f t="shared" si="3"/>
        <v>6980</v>
      </c>
      <c r="Q18" s="1" t="str">
        <f t="shared" si="4"/>
        <v>Very High</v>
      </c>
    </row>
    <row r="19" spans="1:17">
      <c r="A19" t="s">
        <v>44</v>
      </c>
      <c r="B19" t="s">
        <v>18</v>
      </c>
      <c r="C19" t="s">
        <v>19</v>
      </c>
      <c r="D19">
        <v>3</v>
      </c>
      <c r="E19" t="s">
        <v>20</v>
      </c>
      <c r="F19" t="s">
        <v>21</v>
      </c>
      <c r="G19">
        <v>3786</v>
      </c>
      <c r="H19">
        <v>333</v>
      </c>
      <c r="I19">
        <v>126</v>
      </c>
      <c r="J19">
        <v>360</v>
      </c>
      <c r="K19">
        <v>1</v>
      </c>
      <c r="L19" t="s">
        <v>31</v>
      </c>
      <c r="M19">
        <f t="shared" si="0"/>
        <v>4119</v>
      </c>
      <c r="N19">
        <f t="shared" si="1"/>
        <v>4156</v>
      </c>
      <c r="O19">
        <f t="shared" si="2"/>
        <v>5205</v>
      </c>
      <c r="P19">
        <f t="shared" si="3"/>
        <v>6980</v>
      </c>
      <c r="Q19" s="1" t="str">
        <f t="shared" si="4"/>
        <v>Low</v>
      </c>
    </row>
    <row r="20" spans="1:17">
      <c r="A20" t="s">
        <v>45</v>
      </c>
      <c r="B20" t="s">
        <v>18</v>
      </c>
      <c r="C20" t="s">
        <v>19</v>
      </c>
      <c r="D20">
        <v>0</v>
      </c>
      <c r="E20" t="s">
        <v>20</v>
      </c>
      <c r="F20" t="s">
        <v>21</v>
      </c>
      <c r="G20">
        <v>9226</v>
      </c>
      <c r="H20">
        <v>7916</v>
      </c>
      <c r="I20">
        <v>300</v>
      </c>
      <c r="J20">
        <v>360</v>
      </c>
      <c r="K20">
        <v>1</v>
      </c>
      <c r="L20" t="s">
        <v>22</v>
      </c>
      <c r="M20">
        <f t="shared" si="0"/>
        <v>17142</v>
      </c>
      <c r="N20">
        <f t="shared" si="1"/>
        <v>4156</v>
      </c>
      <c r="O20">
        <f t="shared" si="2"/>
        <v>5205</v>
      </c>
      <c r="P20">
        <f t="shared" si="3"/>
        <v>6980</v>
      </c>
      <c r="Q20" s="1" t="str">
        <f t="shared" si="4"/>
        <v>Very High</v>
      </c>
    </row>
    <row r="21" spans="1:17">
      <c r="A21" t="s">
        <v>46</v>
      </c>
      <c r="B21" t="s">
        <v>18</v>
      </c>
      <c r="C21" t="s">
        <v>21</v>
      </c>
      <c r="D21">
        <v>0</v>
      </c>
      <c r="E21" t="s">
        <v>20</v>
      </c>
      <c r="F21" t="s">
        <v>21</v>
      </c>
      <c r="G21">
        <v>1300</v>
      </c>
      <c r="H21">
        <v>3470</v>
      </c>
      <c r="I21">
        <v>100</v>
      </c>
      <c r="J21">
        <v>180</v>
      </c>
      <c r="K21">
        <v>1</v>
      </c>
      <c r="L21" t="s">
        <v>31</v>
      </c>
      <c r="M21">
        <f t="shared" si="0"/>
        <v>4770</v>
      </c>
      <c r="N21">
        <f t="shared" si="1"/>
        <v>4156</v>
      </c>
      <c r="O21">
        <f t="shared" si="2"/>
        <v>5205</v>
      </c>
      <c r="P21">
        <f t="shared" si="3"/>
        <v>6980</v>
      </c>
      <c r="Q21" s="1" t="str">
        <f t="shared" si="4"/>
        <v>Medium</v>
      </c>
    </row>
    <row r="22" spans="1:17">
      <c r="A22" t="s">
        <v>47</v>
      </c>
      <c r="B22" t="s">
        <v>18</v>
      </c>
      <c r="C22" t="s">
        <v>19</v>
      </c>
      <c r="D22">
        <v>1</v>
      </c>
      <c r="E22" t="s">
        <v>27</v>
      </c>
      <c r="F22" t="s">
        <v>21</v>
      </c>
      <c r="G22">
        <v>1888</v>
      </c>
      <c r="H22">
        <v>1620</v>
      </c>
      <c r="I22">
        <v>48</v>
      </c>
      <c r="J22">
        <v>360</v>
      </c>
      <c r="K22">
        <v>1</v>
      </c>
      <c r="L22" t="s">
        <v>22</v>
      </c>
      <c r="M22">
        <f t="shared" si="0"/>
        <v>3508</v>
      </c>
      <c r="N22">
        <f t="shared" si="1"/>
        <v>4156</v>
      </c>
      <c r="O22">
        <f t="shared" si="2"/>
        <v>5205</v>
      </c>
      <c r="P22">
        <f t="shared" si="3"/>
        <v>6980</v>
      </c>
      <c r="Q22" s="1" t="str">
        <f t="shared" si="4"/>
        <v>Low</v>
      </c>
    </row>
    <row r="23" spans="1:17">
      <c r="A23" t="s">
        <v>48</v>
      </c>
      <c r="B23" t="s">
        <v>30</v>
      </c>
      <c r="C23" t="s">
        <v>21</v>
      </c>
      <c r="D23">
        <v>3</v>
      </c>
      <c r="E23" t="s">
        <v>27</v>
      </c>
      <c r="F23" t="s">
        <v>21</v>
      </c>
      <c r="G23">
        <v>2083</v>
      </c>
      <c r="H23">
        <v>0</v>
      </c>
      <c r="I23">
        <v>28</v>
      </c>
      <c r="J23">
        <v>180</v>
      </c>
      <c r="K23">
        <v>1</v>
      </c>
      <c r="L23" t="s">
        <v>22</v>
      </c>
      <c r="M23">
        <f t="shared" si="0"/>
        <v>2083</v>
      </c>
      <c r="N23">
        <f t="shared" si="1"/>
        <v>4156</v>
      </c>
      <c r="O23">
        <f t="shared" si="2"/>
        <v>5205</v>
      </c>
      <c r="P23">
        <f t="shared" si="3"/>
        <v>6980</v>
      </c>
      <c r="Q23" s="1" t="str">
        <f t="shared" si="4"/>
        <v>Low</v>
      </c>
    </row>
    <row r="24" spans="1:17">
      <c r="A24" t="s">
        <v>49</v>
      </c>
      <c r="B24" t="s">
        <v>35</v>
      </c>
      <c r="C24" t="s">
        <v>21</v>
      </c>
      <c r="D24">
        <v>0</v>
      </c>
      <c r="E24" t="s">
        <v>20</v>
      </c>
      <c r="F24" t="s">
        <v>21</v>
      </c>
      <c r="G24">
        <v>3909</v>
      </c>
      <c r="H24">
        <v>0</v>
      </c>
      <c r="I24">
        <v>101</v>
      </c>
      <c r="J24">
        <v>360</v>
      </c>
      <c r="K24">
        <v>1</v>
      </c>
      <c r="L24" t="s">
        <v>22</v>
      </c>
      <c r="M24">
        <f t="shared" si="0"/>
        <v>3909</v>
      </c>
      <c r="N24">
        <f t="shared" si="1"/>
        <v>4156</v>
      </c>
      <c r="O24">
        <f t="shared" si="2"/>
        <v>5205</v>
      </c>
      <c r="P24">
        <f t="shared" si="3"/>
        <v>6980</v>
      </c>
      <c r="Q24" s="1" t="str">
        <f t="shared" si="4"/>
        <v>Low</v>
      </c>
    </row>
    <row r="25" spans="1:17">
      <c r="A25" t="s">
        <v>50</v>
      </c>
      <c r="B25" t="s">
        <v>30</v>
      </c>
      <c r="C25" t="s">
        <v>21</v>
      </c>
      <c r="D25">
        <v>0</v>
      </c>
      <c r="E25" t="s">
        <v>27</v>
      </c>
      <c r="F25" t="s">
        <v>21</v>
      </c>
      <c r="G25">
        <v>3765</v>
      </c>
      <c r="H25">
        <v>0</v>
      </c>
      <c r="I25">
        <v>125</v>
      </c>
      <c r="J25">
        <v>360</v>
      </c>
      <c r="K25">
        <v>1</v>
      </c>
      <c r="L25" t="s">
        <v>22</v>
      </c>
      <c r="M25">
        <f t="shared" si="0"/>
        <v>3765</v>
      </c>
      <c r="N25">
        <f t="shared" si="1"/>
        <v>4156</v>
      </c>
      <c r="O25">
        <f t="shared" si="2"/>
        <v>5205</v>
      </c>
      <c r="P25">
        <f t="shared" si="3"/>
        <v>6980</v>
      </c>
      <c r="Q25" s="1" t="str">
        <f t="shared" si="4"/>
        <v>Low</v>
      </c>
    </row>
    <row r="26" spans="1:17">
      <c r="A26" t="s">
        <v>51</v>
      </c>
      <c r="B26" t="s">
        <v>18</v>
      </c>
      <c r="C26" t="s">
        <v>19</v>
      </c>
      <c r="D26">
        <v>0</v>
      </c>
      <c r="E26" t="s">
        <v>20</v>
      </c>
      <c r="F26" t="s">
        <v>21</v>
      </c>
      <c r="G26">
        <v>5400</v>
      </c>
      <c r="H26">
        <v>4380</v>
      </c>
      <c r="I26">
        <v>290</v>
      </c>
      <c r="J26">
        <v>360</v>
      </c>
      <c r="K26">
        <v>1</v>
      </c>
      <c r="L26" t="s">
        <v>22</v>
      </c>
      <c r="M26">
        <f t="shared" si="0"/>
        <v>9780</v>
      </c>
      <c r="N26">
        <f t="shared" si="1"/>
        <v>4156</v>
      </c>
      <c r="O26">
        <f t="shared" si="2"/>
        <v>5205</v>
      </c>
      <c r="P26">
        <f t="shared" si="3"/>
        <v>6980</v>
      </c>
      <c r="Q26" s="1" t="str">
        <f t="shared" si="4"/>
        <v>Very High</v>
      </c>
    </row>
    <row r="27" spans="1:17">
      <c r="A27" t="s">
        <v>52</v>
      </c>
      <c r="B27" t="s">
        <v>18</v>
      </c>
      <c r="C27" t="s">
        <v>21</v>
      </c>
      <c r="D27">
        <v>0</v>
      </c>
      <c r="E27" t="s">
        <v>20</v>
      </c>
      <c r="F27" t="s">
        <v>21</v>
      </c>
      <c r="G27">
        <v>0</v>
      </c>
      <c r="H27">
        <v>24000</v>
      </c>
      <c r="I27">
        <v>148</v>
      </c>
      <c r="J27">
        <v>360</v>
      </c>
      <c r="K27">
        <v>0</v>
      </c>
      <c r="L27" t="s">
        <v>33</v>
      </c>
      <c r="M27">
        <f t="shared" si="0"/>
        <v>24000</v>
      </c>
      <c r="N27">
        <f t="shared" si="1"/>
        <v>4156</v>
      </c>
      <c r="O27">
        <f t="shared" si="2"/>
        <v>5205</v>
      </c>
      <c r="P27">
        <f t="shared" si="3"/>
        <v>6980</v>
      </c>
      <c r="Q27" s="1" t="str">
        <f t="shared" si="4"/>
        <v>Very High</v>
      </c>
    </row>
    <row r="28" spans="1:17">
      <c r="A28" t="s">
        <v>53</v>
      </c>
      <c r="B28" t="s">
        <v>18</v>
      </c>
      <c r="C28" t="s">
        <v>19</v>
      </c>
      <c r="D28">
        <v>2</v>
      </c>
      <c r="E28" t="s">
        <v>20</v>
      </c>
      <c r="F28" t="s">
        <v>21</v>
      </c>
      <c r="G28">
        <v>4363</v>
      </c>
      <c r="H28">
        <v>1250</v>
      </c>
      <c r="I28">
        <v>140</v>
      </c>
      <c r="J28">
        <v>360</v>
      </c>
      <c r="L28" t="s">
        <v>22</v>
      </c>
      <c r="M28">
        <f t="shared" si="0"/>
        <v>5613</v>
      </c>
      <c r="N28">
        <f t="shared" si="1"/>
        <v>4156</v>
      </c>
      <c r="O28">
        <f t="shared" si="2"/>
        <v>5205</v>
      </c>
      <c r="P28">
        <f t="shared" si="3"/>
        <v>6980</v>
      </c>
      <c r="Q28" s="1" t="str">
        <f t="shared" si="4"/>
        <v>High</v>
      </c>
    </row>
    <row r="29" spans="1:17">
      <c r="A29" t="s">
        <v>54</v>
      </c>
      <c r="B29" t="s">
        <v>18</v>
      </c>
      <c r="C29" t="s">
        <v>19</v>
      </c>
      <c r="D29">
        <v>0</v>
      </c>
      <c r="E29" t="s">
        <v>20</v>
      </c>
      <c r="F29" t="s">
        <v>21</v>
      </c>
      <c r="G29">
        <v>7500</v>
      </c>
      <c r="H29">
        <v>3750</v>
      </c>
      <c r="I29">
        <v>275</v>
      </c>
      <c r="J29">
        <v>360</v>
      </c>
      <c r="K29">
        <v>1</v>
      </c>
      <c r="L29" t="s">
        <v>22</v>
      </c>
      <c r="M29">
        <f t="shared" si="0"/>
        <v>11250</v>
      </c>
      <c r="N29">
        <f t="shared" si="1"/>
        <v>4156</v>
      </c>
      <c r="O29">
        <f t="shared" si="2"/>
        <v>5205</v>
      </c>
      <c r="P29">
        <f t="shared" si="3"/>
        <v>6980</v>
      </c>
      <c r="Q29" s="1" t="str">
        <f t="shared" si="4"/>
        <v>Very High</v>
      </c>
    </row>
    <row r="30" spans="1:17">
      <c r="A30" t="s">
        <v>55</v>
      </c>
      <c r="B30" t="s">
        <v>18</v>
      </c>
      <c r="C30" t="s">
        <v>19</v>
      </c>
      <c r="D30">
        <v>0</v>
      </c>
      <c r="E30" t="s">
        <v>20</v>
      </c>
      <c r="F30" t="s">
        <v>21</v>
      </c>
      <c r="G30">
        <v>3772</v>
      </c>
      <c r="H30">
        <v>833</v>
      </c>
      <c r="I30">
        <v>57</v>
      </c>
      <c r="J30">
        <v>360</v>
      </c>
      <c r="L30" t="s">
        <v>31</v>
      </c>
      <c r="M30">
        <f t="shared" si="0"/>
        <v>4605</v>
      </c>
      <c r="N30">
        <f t="shared" si="1"/>
        <v>4156</v>
      </c>
      <c r="O30">
        <f t="shared" si="2"/>
        <v>5205</v>
      </c>
      <c r="P30">
        <f t="shared" si="3"/>
        <v>6980</v>
      </c>
      <c r="Q30" s="1" t="str">
        <f t="shared" si="4"/>
        <v>Medium</v>
      </c>
    </row>
    <row r="31" spans="1:17">
      <c r="A31" t="s">
        <v>56</v>
      </c>
      <c r="B31" t="s">
        <v>18</v>
      </c>
      <c r="C31" t="s">
        <v>21</v>
      </c>
      <c r="D31">
        <v>0</v>
      </c>
      <c r="E31" t="s">
        <v>20</v>
      </c>
      <c r="F31" t="s">
        <v>21</v>
      </c>
      <c r="G31">
        <v>2942</v>
      </c>
      <c r="H31">
        <v>2382</v>
      </c>
      <c r="I31">
        <v>125</v>
      </c>
      <c r="J31">
        <v>180</v>
      </c>
      <c r="K31">
        <v>1</v>
      </c>
      <c r="L31" t="s">
        <v>22</v>
      </c>
      <c r="M31">
        <f t="shared" si="0"/>
        <v>5324</v>
      </c>
      <c r="N31">
        <f t="shared" si="1"/>
        <v>4156</v>
      </c>
      <c r="O31">
        <f t="shared" si="2"/>
        <v>5205</v>
      </c>
      <c r="P31">
        <f t="shared" si="3"/>
        <v>6980</v>
      </c>
      <c r="Q31" s="1" t="str">
        <f t="shared" si="4"/>
        <v>High</v>
      </c>
    </row>
    <row r="32" spans="1:17">
      <c r="A32" t="s">
        <v>57</v>
      </c>
      <c r="B32" t="s">
        <v>30</v>
      </c>
      <c r="C32" t="s">
        <v>21</v>
      </c>
      <c r="D32">
        <v>0</v>
      </c>
      <c r="E32" t="s">
        <v>27</v>
      </c>
      <c r="F32" t="s">
        <v>21</v>
      </c>
      <c r="G32">
        <v>2478</v>
      </c>
      <c r="H32">
        <v>0</v>
      </c>
      <c r="I32">
        <v>75</v>
      </c>
      <c r="J32">
        <v>360</v>
      </c>
      <c r="K32">
        <v>1</v>
      </c>
      <c r="L32" t="s">
        <v>31</v>
      </c>
      <c r="M32">
        <f t="shared" si="0"/>
        <v>2478</v>
      </c>
      <c r="N32">
        <f t="shared" si="1"/>
        <v>4156</v>
      </c>
      <c r="O32">
        <f t="shared" si="2"/>
        <v>5205</v>
      </c>
      <c r="P32">
        <f t="shared" si="3"/>
        <v>6980</v>
      </c>
      <c r="Q32" s="1" t="str">
        <f t="shared" si="4"/>
        <v>Low</v>
      </c>
    </row>
    <row r="33" spans="1:17">
      <c r="A33" t="s">
        <v>58</v>
      </c>
      <c r="B33" t="s">
        <v>18</v>
      </c>
      <c r="C33" t="s">
        <v>19</v>
      </c>
      <c r="D33">
        <v>2</v>
      </c>
      <c r="E33" t="s">
        <v>20</v>
      </c>
      <c r="F33" t="s">
        <v>21</v>
      </c>
      <c r="G33">
        <v>6250</v>
      </c>
      <c r="H33">
        <v>820</v>
      </c>
      <c r="I33">
        <v>192</v>
      </c>
      <c r="J33">
        <v>360</v>
      </c>
      <c r="K33">
        <v>1</v>
      </c>
      <c r="L33" t="s">
        <v>22</v>
      </c>
      <c r="M33">
        <f t="shared" si="0"/>
        <v>7070</v>
      </c>
      <c r="N33">
        <f t="shared" si="1"/>
        <v>4156</v>
      </c>
      <c r="O33">
        <f t="shared" si="2"/>
        <v>5205</v>
      </c>
      <c r="P33">
        <f t="shared" si="3"/>
        <v>6980</v>
      </c>
      <c r="Q33" s="1" t="str">
        <f t="shared" si="4"/>
        <v>Very High</v>
      </c>
    </row>
    <row r="34" spans="1:17">
      <c r="A34" t="s">
        <v>59</v>
      </c>
      <c r="B34" t="s">
        <v>18</v>
      </c>
      <c r="C34" t="s">
        <v>21</v>
      </c>
      <c r="D34">
        <v>0</v>
      </c>
      <c r="E34" t="s">
        <v>20</v>
      </c>
      <c r="F34" t="s">
        <v>21</v>
      </c>
      <c r="G34">
        <v>3268</v>
      </c>
      <c r="H34">
        <v>1683</v>
      </c>
      <c r="I34">
        <v>152</v>
      </c>
      <c r="J34">
        <v>360</v>
      </c>
      <c r="K34">
        <v>1</v>
      </c>
      <c r="L34" t="s">
        <v>31</v>
      </c>
      <c r="M34">
        <f t="shared" si="0"/>
        <v>4951</v>
      </c>
      <c r="N34">
        <f t="shared" si="1"/>
        <v>4156</v>
      </c>
      <c r="O34">
        <f t="shared" si="2"/>
        <v>5205</v>
      </c>
      <c r="P34">
        <f t="shared" si="3"/>
        <v>6980</v>
      </c>
      <c r="Q34" s="1" t="str">
        <f t="shared" si="4"/>
        <v>Medium</v>
      </c>
    </row>
    <row r="35" spans="1:17">
      <c r="A35" t="s">
        <v>60</v>
      </c>
      <c r="B35" t="s">
        <v>18</v>
      </c>
      <c r="C35" t="s">
        <v>19</v>
      </c>
      <c r="D35">
        <v>0</v>
      </c>
      <c r="E35" t="s">
        <v>20</v>
      </c>
      <c r="F35" t="s">
        <v>21</v>
      </c>
      <c r="G35">
        <v>2783</v>
      </c>
      <c r="H35">
        <v>2708</v>
      </c>
      <c r="I35">
        <v>158</v>
      </c>
      <c r="J35">
        <v>360</v>
      </c>
      <c r="K35">
        <v>1</v>
      </c>
      <c r="L35" t="s">
        <v>22</v>
      </c>
      <c r="M35">
        <f t="shared" si="0"/>
        <v>5491</v>
      </c>
      <c r="N35">
        <f t="shared" si="1"/>
        <v>4156</v>
      </c>
      <c r="O35">
        <f t="shared" si="2"/>
        <v>5205</v>
      </c>
      <c r="P35">
        <f t="shared" si="3"/>
        <v>6980</v>
      </c>
      <c r="Q35" s="1" t="str">
        <f t="shared" si="4"/>
        <v>High</v>
      </c>
    </row>
    <row r="36" spans="1:17">
      <c r="A36" t="s">
        <v>61</v>
      </c>
      <c r="B36" t="s">
        <v>18</v>
      </c>
      <c r="C36" t="s">
        <v>19</v>
      </c>
      <c r="D36">
        <v>0</v>
      </c>
      <c r="E36" t="s">
        <v>20</v>
      </c>
      <c r="F36" t="s">
        <v>21</v>
      </c>
      <c r="G36">
        <v>2740</v>
      </c>
      <c r="H36">
        <v>1541</v>
      </c>
      <c r="I36">
        <v>101</v>
      </c>
      <c r="J36">
        <v>360</v>
      </c>
      <c r="K36">
        <v>1</v>
      </c>
      <c r="L36" t="s">
        <v>22</v>
      </c>
      <c r="M36">
        <f t="shared" si="0"/>
        <v>4281</v>
      </c>
      <c r="N36">
        <f t="shared" si="1"/>
        <v>4156</v>
      </c>
      <c r="O36">
        <f t="shared" si="2"/>
        <v>5205</v>
      </c>
      <c r="P36">
        <f t="shared" si="3"/>
        <v>6980</v>
      </c>
      <c r="Q36" s="1" t="str">
        <f t="shared" si="4"/>
        <v>Medium</v>
      </c>
    </row>
    <row r="37" spans="1:17">
      <c r="A37" t="s">
        <v>62</v>
      </c>
      <c r="B37" t="s">
        <v>18</v>
      </c>
      <c r="C37" t="s">
        <v>21</v>
      </c>
      <c r="D37">
        <v>0</v>
      </c>
      <c r="E37" t="s">
        <v>20</v>
      </c>
      <c r="F37" t="s">
        <v>21</v>
      </c>
      <c r="G37">
        <v>3150</v>
      </c>
      <c r="H37">
        <v>0</v>
      </c>
      <c r="I37">
        <v>176</v>
      </c>
      <c r="J37">
        <v>360</v>
      </c>
      <c r="K37">
        <v>0</v>
      </c>
      <c r="L37" t="s">
        <v>31</v>
      </c>
      <c r="M37">
        <f t="shared" si="0"/>
        <v>3150</v>
      </c>
      <c r="N37">
        <f t="shared" si="1"/>
        <v>4156</v>
      </c>
      <c r="O37">
        <f t="shared" si="2"/>
        <v>5205</v>
      </c>
      <c r="P37">
        <f t="shared" si="3"/>
        <v>6980</v>
      </c>
      <c r="Q37" s="1" t="str">
        <f t="shared" si="4"/>
        <v>Low</v>
      </c>
    </row>
    <row r="38" spans="1:17">
      <c r="A38" t="s">
        <v>63</v>
      </c>
      <c r="B38" t="s">
        <v>18</v>
      </c>
      <c r="C38" t="s">
        <v>19</v>
      </c>
      <c r="D38">
        <v>2</v>
      </c>
      <c r="E38" t="s">
        <v>20</v>
      </c>
      <c r="F38" t="s">
        <v>35</v>
      </c>
      <c r="G38">
        <v>7350</v>
      </c>
      <c r="H38">
        <v>4029</v>
      </c>
      <c r="I38">
        <v>185</v>
      </c>
      <c r="J38">
        <v>180</v>
      </c>
      <c r="K38">
        <v>1</v>
      </c>
      <c r="L38" t="s">
        <v>22</v>
      </c>
      <c r="M38">
        <f t="shared" si="0"/>
        <v>11379</v>
      </c>
      <c r="N38">
        <f t="shared" si="1"/>
        <v>4156</v>
      </c>
      <c r="O38">
        <f t="shared" si="2"/>
        <v>5205</v>
      </c>
      <c r="P38">
        <f t="shared" si="3"/>
        <v>6980</v>
      </c>
      <c r="Q38" s="1" t="str">
        <f t="shared" si="4"/>
        <v>Very High</v>
      </c>
    </row>
    <row r="39" spans="1:17">
      <c r="A39" t="s">
        <v>64</v>
      </c>
      <c r="B39" t="s">
        <v>18</v>
      </c>
      <c r="C39" t="s">
        <v>19</v>
      </c>
      <c r="D39">
        <v>0</v>
      </c>
      <c r="E39" t="s">
        <v>20</v>
      </c>
      <c r="F39" t="s">
        <v>19</v>
      </c>
      <c r="G39">
        <v>2267</v>
      </c>
      <c r="H39">
        <v>2792</v>
      </c>
      <c r="I39">
        <v>90</v>
      </c>
      <c r="J39">
        <v>360</v>
      </c>
      <c r="K39">
        <v>1</v>
      </c>
      <c r="L39" t="s">
        <v>22</v>
      </c>
      <c r="M39">
        <f t="shared" si="0"/>
        <v>5059</v>
      </c>
      <c r="N39">
        <f t="shared" si="1"/>
        <v>4156</v>
      </c>
      <c r="O39">
        <f t="shared" si="2"/>
        <v>5205</v>
      </c>
      <c r="P39">
        <f t="shared" si="3"/>
        <v>6980</v>
      </c>
      <c r="Q39" s="1" t="str">
        <f t="shared" si="4"/>
        <v>Medium</v>
      </c>
    </row>
    <row r="40" spans="1:17">
      <c r="A40" t="s">
        <v>65</v>
      </c>
      <c r="B40" t="s">
        <v>18</v>
      </c>
      <c r="C40" t="s">
        <v>21</v>
      </c>
      <c r="D40">
        <v>0</v>
      </c>
      <c r="E40" t="s">
        <v>20</v>
      </c>
      <c r="F40" t="s">
        <v>19</v>
      </c>
      <c r="G40">
        <v>5833</v>
      </c>
      <c r="H40">
        <v>0</v>
      </c>
      <c r="I40">
        <v>116</v>
      </c>
      <c r="J40">
        <v>360</v>
      </c>
      <c r="K40">
        <v>1</v>
      </c>
      <c r="L40" t="s">
        <v>22</v>
      </c>
      <c r="M40">
        <f t="shared" si="0"/>
        <v>5833</v>
      </c>
      <c r="N40">
        <f t="shared" si="1"/>
        <v>4156</v>
      </c>
      <c r="O40">
        <f t="shared" si="2"/>
        <v>5205</v>
      </c>
      <c r="P40">
        <f t="shared" si="3"/>
        <v>6980</v>
      </c>
      <c r="Q40" s="1" t="str">
        <f t="shared" si="4"/>
        <v>High</v>
      </c>
    </row>
    <row r="41" spans="1:17">
      <c r="A41" t="s">
        <v>66</v>
      </c>
      <c r="B41" t="s">
        <v>18</v>
      </c>
      <c r="C41" t="s">
        <v>21</v>
      </c>
      <c r="D41">
        <v>0</v>
      </c>
      <c r="E41" t="s">
        <v>20</v>
      </c>
      <c r="F41" t="s">
        <v>21</v>
      </c>
      <c r="G41">
        <v>3643</v>
      </c>
      <c r="H41">
        <v>1963</v>
      </c>
      <c r="I41">
        <v>138</v>
      </c>
      <c r="J41">
        <v>360</v>
      </c>
      <c r="K41">
        <v>1</v>
      </c>
      <c r="L41" t="s">
        <v>22</v>
      </c>
      <c r="M41">
        <f t="shared" si="0"/>
        <v>5606</v>
      </c>
      <c r="N41">
        <f t="shared" si="1"/>
        <v>4156</v>
      </c>
      <c r="O41">
        <f t="shared" si="2"/>
        <v>5205</v>
      </c>
      <c r="P41">
        <f t="shared" si="3"/>
        <v>6980</v>
      </c>
      <c r="Q41" s="1" t="str">
        <f t="shared" si="4"/>
        <v>High</v>
      </c>
    </row>
    <row r="42" spans="1:17">
      <c r="A42" t="s">
        <v>67</v>
      </c>
      <c r="B42" t="s">
        <v>18</v>
      </c>
      <c r="C42" t="s">
        <v>19</v>
      </c>
      <c r="D42">
        <v>0</v>
      </c>
      <c r="E42" t="s">
        <v>20</v>
      </c>
      <c r="F42" t="s">
        <v>21</v>
      </c>
      <c r="G42">
        <v>5629</v>
      </c>
      <c r="H42">
        <v>818</v>
      </c>
      <c r="I42">
        <v>100</v>
      </c>
      <c r="J42">
        <v>360</v>
      </c>
      <c r="K42">
        <v>1</v>
      </c>
      <c r="L42" t="s">
        <v>22</v>
      </c>
      <c r="M42">
        <f t="shared" si="0"/>
        <v>6447</v>
      </c>
      <c r="N42">
        <f t="shared" si="1"/>
        <v>4156</v>
      </c>
      <c r="O42">
        <f t="shared" si="2"/>
        <v>5205</v>
      </c>
      <c r="P42">
        <f t="shared" si="3"/>
        <v>6980</v>
      </c>
      <c r="Q42" s="1" t="str">
        <f t="shared" si="4"/>
        <v>High</v>
      </c>
    </row>
    <row r="43" spans="1:17">
      <c r="A43" t="s">
        <v>68</v>
      </c>
      <c r="B43" t="s">
        <v>30</v>
      </c>
      <c r="C43" t="s">
        <v>21</v>
      </c>
      <c r="D43">
        <v>0</v>
      </c>
      <c r="E43" t="s">
        <v>20</v>
      </c>
      <c r="F43" t="s">
        <v>21</v>
      </c>
      <c r="G43">
        <v>3644</v>
      </c>
      <c r="H43">
        <v>0</v>
      </c>
      <c r="I43">
        <v>110</v>
      </c>
      <c r="J43">
        <v>360</v>
      </c>
      <c r="K43">
        <v>1</v>
      </c>
      <c r="L43" t="s">
        <v>22</v>
      </c>
      <c r="M43">
        <f t="shared" si="0"/>
        <v>3644</v>
      </c>
      <c r="N43">
        <f t="shared" si="1"/>
        <v>4156</v>
      </c>
      <c r="O43">
        <f t="shared" si="2"/>
        <v>5205</v>
      </c>
      <c r="P43">
        <f t="shared" si="3"/>
        <v>6980</v>
      </c>
      <c r="Q43" s="1" t="str">
        <f t="shared" si="4"/>
        <v>Low</v>
      </c>
    </row>
    <row r="44" spans="1:17">
      <c r="A44" t="s">
        <v>69</v>
      </c>
      <c r="B44" t="s">
        <v>18</v>
      </c>
      <c r="C44" t="s">
        <v>19</v>
      </c>
      <c r="D44">
        <v>0</v>
      </c>
      <c r="E44" t="s">
        <v>27</v>
      </c>
      <c r="F44" t="s">
        <v>21</v>
      </c>
      <c r="G44">
        <v>1750</v>
      </c>
      <c r="H44">
        <v>2024</v>
      </c>
      <c r="I44">
        <v>90</v>
      </c>
      <c r="J44">
        <v>360</v>
      </c>
      <c r="K44">
        <v>1</v>
      </c>
      <c r="L44" t="s">
        <v>31</v>
      </c>
      <c r="M44">
        <f t="shared" si="0"/>
        <v>3774</v>
      </c>
      <c r="N44">
        <f t="shared" si="1"/>
        <v>4156</v>
      </c>
      <c r="O44">
        <f t="shared" si="2"/>
        <v>5205</v>
      </c>
      <c r="P44">
        <f t="shared" si="3"/>
        <v>6980</v>
      </c>
      <c r="Q44" s="1" t="str">
        <f t="shared" si="4"/>
        <v>Low</v>
      </c>
    </row>
    <row r="45" spans="1:17">
      <c r="A45" t="s">
        <v>70</v>
      </c>
      <c r="B45" t="s">
        <v>18</v>
      </c>
      <c r="C45" t="s">
        <v>21</v>
      </c>
      <c r="D45">
        <v>0</v>
      </c>
      <c r="E45" t="s">
        <v>20</v>
      </c>
      <c r="F45" t="s">
        <v>21</v>
      </c>
      <c r="G45">
        <v>6500</v>
      </c>
      <c r="H45">
        <v>2600</v>
      </c>
      <c r="I45">
        <v>200</v>
      </c>
      <c r="J45">
        <v>360</v>
      </c>
      <c r="K45">
        <v>1</v>
      </c>
      <c r="L45" t="s">
        <v>31</v>
      </c>
      <c r="M45">
        <f t="shared" si="0"/>
        <v>9100</v>
      </c>
      <c r="N45">
        <f t="shared" si="1"/>
        <v>4156</v>
      </c>
      <c r="O45">
        <f t="shared" si="2"/>
        <v>5205</v>
      </c>
      <c r="P45">
        <f t="shared" si="3"/>
        <v>6980</v>
      </c>
      <c r="Q45" s="1" t="str">
        <f t="shared" si="4"/>
        <v>Very High</v>
      </c>
    </row>
    <row r="46" spans="1:17">
      <c r="A46" t="s">
        <v>71</v>
      </c>
      <c r="B46" t="s">
        <v>30</v>
      </c>
      <c r="C46" t="s">
        <v>21</v>
      </c>
      <c r="D46">
        <v>0</v>
      </c>
      <c r="E46" t="s">
        <v>20</v>
      </c>
      <c r="F46" t="s">
        <v>21</v>
      </c>
      <c r="G46">
        <v>3666</v>
      </c>
      <c r="H46">
        <v>0</v>
      </c>
      <c r="I46">
        <v>84</v>
      </c>
      <c r="J46">
        <v>360</v>
      </c>
      <c r="K46">
        <v>1</v>
      </c>
      <c r="L46" t="s">
        <v>22</v>
      </c>
      <c r="M46">
        <f t="shared" si="0"/>
        <v>3666</v>
      </c>
      <c r="N46">
        <f t="shared" si="1"/>
        <v>4156</v>
      </c>
      <c r="O46">
        <f t="shared" si="2"/>
        <v>5205</v>
      </c>
      <c r="P46">
        <f t="shared" si="3"/>
        <v>6980</v>
      </c>
      <c r="Q46" s="1" t="str">
        <f t="shared" si="4"/>
        <v>Low</v>
      </c>
    </row>
    <row r="47" spans="1:17">
      <c r="A47" t="s">
        <v>72</v>
      </c>
      <c r="B47" t="s">
        <v>18</v>
      </c>
      <c r="C47" t="s">
        <v>19</v>
      </c>
      <c r="D47">
        <v>0</v>
      </c>
      <c r="E47" t="s">
        <v>20</v>
      </c>
      <c r="F47" t="s">
        <v>21</v>
      </c>
      <c r="G47">
        <v>4260</v>
      </c>
      <c r="H47">
        <v>3900</v>
      </c>
      <c r="I47">
        <v>185</v>
      </c>
      <c r="L47" t="s">
        <v>22</v>
      </c>
      <c r="M47">
        <f t="shared" si="0"/>
        <v>8160</v>
      </c>
      <c r="N47">
        <f t="shared" si="1"/>
        <v>4156</v>
      </c>
      <c r="O47">
        <f t="shared" si="2"/>
        <v>5205</v>
      </c>
      <c r="P47">
        <f t="shared" si="3"/>
        <v>6980</v>
      </c>
      <c r="Q47" s="1" t="str">
        <f t="shared" si="4"/>
        <v>Very High</v>
      </c>
    </row>
    <row r="48" spans="1:17">
      <c r="A48" t="s">
        <v>73</v>
      </c>
      <c r="B48" t="s">
        <v>18</v>
      </c>
      <c r="C48" t="s">
        <v>19</v>
      </c>
      <c r="E48" t="s">
        <v>27</v>
      </c>
      <c r="F48" t="s">
        <v>21</v>
      </c>
      <c r="G48">
        <v>4163</v>
      </c>
      <c r="H48">
        <v>1475</v>
      </c>
      <c r="I48">
        <v>162</v>
      </c>
      <c r="J48">
        <v>360</v>
      </c>
      <c r="K48">
        <v>1</v>
      </c>
      <c r="L48" t="s">
        <v>22</v>
      </c>
      <c r="M48">
        <f t="shared" si="0"/>
        <v>5638</v>
      </c>
      <c r="N48">
        <f t="shared" si="1"/>
        <v>4156</v>
      </c>
      <c r="O48">
        <f t="shared" si="2"/>
        <v>5205</v>
      </c>
      <c r="P48">
        <f t="shared" si="3"/>
        <v>6980</v>
      </c>
      <c r="Q48" s="1" t="str">
        <f t="shared" si="4"/>
        <v>High</v>
      </c>
    </row>
    <row r="49" spans="1:17">
      <c r="A49" t="s">
        <v>74</v>
      </c>
      <c r="B49" t="s">
        <v>18</v>
      </c>
      <c r="C49" t="s">
        <v>21</v>
      </c>
      <c r="D49">
        <v>0</v>
      </c>
      <c r="E49" t="s">
        <v>27</v>
      </c>
      <c r="F49" t="s">
        <v>21</v>
      </c>
      <c r="G49">
        <v>2356</v>
      </c>
      <c r="H49">
        <v>1902</v>
      </c>
      <c r="I49">
        <v>108</v>
      </c>
      <c r="J49">
        <v>360</v>
      </c>
      <c r="K49">
        <v>1</v>
      </c>
      <c r="L49" t="s">
        <v>31</v>
      </c>
      <c r="M49">
        <f t="shared" si="0"/>
        <v>4258</v>
      </c>
      <c r="N49">
        <f t="shared" si="1"/>
        <v>4156</v>
      </c>
      <c r="O49">
        <f t="shared" si="2"/>
        <v>5205</v>
      </c>
      <c r="P49">
        <f t="shared" si="3"/>
        <v>6980</v>
      </c>
      <c r="Q49" s="1" t="str">
        <f t="shared" si="4"/>
        <v>Medium</v>
      </c>
    </row>
    <row r="50" spans="1:17">
      <c r="A50" t="s">
        <v>75</v>
      </c>
      <c r="B50" t="s">
        <v>18</v>
      </c>
      <c r="C50" t="s">
        <v>21</v>
      </c>
      <c r="D50">
        <v>0</v>
      </c>
      <c r="E50" t="s">
        <v>20</v>
      </c>
      <c r="F50" t="s">
        <v>21</v>
      </c>
      <c r="G50">
        <v>6792</v>
      </c>
      <c r="H50">
        <v>3338</v>
      </c>
      <c r="I50">
        <v>187</v>
      </c>
      <c r="K50">
        <v>1</v>
      </c>
      <c r="L50" t="s">
        <v>22</v>
      </c>
      <c r="M50">
        <f t="shared" si="0"/>
        <v>10130</v>
      </c>
      <c r="N50">
        <f t="shared" si="1"/>
        <v>4156</v>
      </c>
      <c r="O50">
        <f t="shared" si="2"/>
        <v>5205</v>
      </c>
      <c r="P50">
        <f t="shared" si="3"/>
        <v>6980</v>
      </c>
      <c r="Q50" s="1" t="str">
        <f t="shared" si="4"/>
        <v>Very High</v>
      </c>
    </row>
    <row r="51" spans="1:17">
      <c r="A51" t="s">
        <v>76</v>
      </c>
      <c r="B51" t="s">
        <v>18</v>
      </c>
      <c r="C51" t="s">
        <v>19</v>
      </c>
      <c r="D51">
        <v>3</v>
      </c>
      <c r="E51" t="s">
        <v>27</v>
      </c>
      <c r="F51" t="s">
        <v>19</v>
      </c>
      <c r="G51">
        <v>8000</v>
      </c>
      <c r="H51">
        <v>250</v>
      </c>
      <c r="I51">
        <v>187</v>
      </c>
      <c r="J51">
        <v>360</v>
      </c>
      <c r="K51">
        <v>1</v>
      </c>
      <c r="L51" t="s">
        <v>31</v>
      </c>
      <c r="M51">
        <f t="shared" si="0"/>
        <v>8250</v>
      </c>
      <c r="N51">
        <f t="shared" si="1"/>
        <v>4156</v>
      </c>
      <c r="O51">
        <f t="shared" si="2"/>
        <v>5205</v>
      </c>
      <c r="P51">
        <f t="shared" si="3"/>
        <v>6980</v>
      </c>
      <c r="Q51" s="1" t="str">
        <f t="shared" si="4"/>
        <v>Very High</v>
      </c>
    </row>
    <row r="52" spans="1:17">
      <c r="A52" t="s">
        <v>77</v>
      </c>
      <c r="B52" t="s">
        <v>18</v>
      </c>
      <c r="C52" t="s">
        <v>19</v>
      </c>
      <c r="D52">
        <v>1</v>
      </c>
      <c r="E52" t="s">
        <v>20</v>
      </c>
      <c r="F52" t="s">
        <v>21</v>
      </c>
      <c r="G52">
        <v>2419</v>
      </c>
      <c r="H52">
        <v>1707</v>
      </c>
      <c r="I52">
        <v>124</v>
      </c>
      <c r="J52">
        <v>360</v>
      </c>
      <c r="K52">
        <v>1</v>
      </c>
      <c r="L52" t="s">
        <v>22</v>
      </c>
      <c r="M52">
        <f t="shared" si="0"/>
        <v>4126</v>
      </c>
      <c r="N52">
        <f t="shared" si="1"/>
        <v>4156</v>
      </c>
      <c r="O52">
        <f t="shared" si="2"/>
        <v>5205</v>
      </c>
      <c r="P52">
        <f t="shared" si="3"/>
        <v>6980</v>
      </c>
      <c r="Q52" s="1" t="str">
        <f t="shared" si="4"/>
        <v>Low</v>
      </c>
    </row>
    <row r="53" spans="1:17">
      <c r="A53" t="s">
        <v>78</v>
      </c>
      <c r="B53" t="s">
        <v>35</v>
      </c>
      <c r="C53" t="s">
        <v>19</v>
      </c>
      <c r="D53">
        <v>3</v>
      </c>
      <c r="E53" t="s">
        <v>27</v>
      </c>
      <c r="F53" t="s">
        <v>21</v>
      </c>
      <c r="G53">
        <v>3500</v>
      </c>
      <c r="H53">
        <v>833</v>
      </c>
      <c r="I53">
        <v>120</v>
      </c>
      <c r="J53">
        <v>360</v>
      </c>
      <c r="K53">
        <v>1</v>
      </c>
      <c r="L53" t="s">
        <v>31</v>
      </c>
      <c r="M53">
        <f t="shared" si="0"/>
        <v>4333</v>
      </c>
      <c r="N53">
        <f t="shared" si="1"/>
        <v>4156</v>
      </c>
      <c r="O53">
        <f t="shared" si="2"/>
        <v>5205</v>
      </c>
      <c r="P53">
        <f t="shared" si="3"/>
        <v>6980</v>
      </c>
      <c r="Q53" s="1" t="str">
        <f t="shared" si="4"/>
        <v>Medium</v>
      </c>
    </row>
    <row r="54" spans="1:17">
      <c r="A54" t="s">
        <v>79</v>
      </c>
      <c r="B54" t="s">
        <v>18</v>
      </c>
      <c r="C54" t="s">
        <v>19</v>
      </c>
      <c r="D54">
        <v>1</v>
      </c>
      <c r="E54" t="s">
        <v>20</v>
      </c>
      <c r="F54" t="s">
        <v>21</v>
      </c>
      <c r="G54">
        <v>3500</v>
      </c>
      <c r="H54">
        <v>3077</v>
      </c>
      <c r="I54">
        <v>160</v>
      </c>
      <c r="J54">
        <v>360</v>
      </c>
      <c r="K54">
        <v>1</v>
      </c>
      <c r="L54" t="s">
        <v>31</v>
      </c>
      <c r="M54">
        <f t="shared" si="0"/>
        <v>6577</v>
      </c>
      <c r="N54">
        <f t="shared" si="1"/>
        <v>4156</v>
      </c>
      <c r="O54">
        <f t="shared" si="2"/>
        <v>5205</v>
      </c>
      <c r="P54">
        <f t="shared" si="3"/>
        <v>6980</v>
      </c>
      <c r="Q54" s="1" t="str">
        <f t="shared" si="4"/>
        <v>High</v>
      </c>
    </row>
    <row r="55" spans="1:17">
      <c r="A55" t="s">
        <v>80</v>
      </c>
      <c r="B55" t="s">
        <v>18</v>
      </c>
      <c r="C55" t="s">
        <v>19</v>
      </c>
      <c r="D55">
        <v>2</v>
      </c>
      <c r="E55" t="s">
        <v>20</v>
      </c>
      <c r="F55" t="s">
        <v>21</v>
      </c>
      <c r="G55">
        <v>4116</v>
      </c>
      <c r="H55">
        <v>1000</v>
      </c>
      <c r="I55">
        <v>30</v>
      </c>
      <c r="J55">
        <v>180</v>
      </c>
      <c r="K55">
        <v>1</v>
      </c>
      <c r="L55" t="s">
        <v>22</v>
      </c>
      <c r="M55">
        <f t="shared" si="0"/>
        <v>5116</v>
      </c>
      <c r="N55">
        <f t="shared" si="1"/>
        <v>4156</v>
      </c>
      <c r="O55">
        <f t="shared" si="2"/>
        <v>5205</v>
      </c>
      <c r="P55">
        <f t="shared" si="3"/>
        <v>6980</v>
      </c>
      <c r="Q55" s="1" t="str">
        <f t="shared" si="4"/>
        <v>Medium</v>
      </c>
    </row>
    <row r="56" spans="1:17">
      <c r="A56" t="s">
        <v>81</v>
      </c>
      <c r="B56" t="s">
        <v>18</v>
      </c>
      <c r="C56" t="s">
        <v>19</v>
      </c>
      <c r="D56">
        <v>0</v>
      </c>
      <c r="E56" t="s">
        <v>27</v>
      </c>
      <c r="F56" t="s">
        <v>19</v>
      </c>
      <c r="G56">
        <v>5293</v>
      </c>
      <c r="H56">
        <v>0</v>
      </c>
      <c r="I56">
        <v>92</v>
      </c>
      <c r="J56">
        <v>360</v>
      </c>
      <c r="K56">
        <v>1</v>
      </c>
      <c r="L56" t="s">
        <v>22</v>
      </c>
      <c r="M56">
        <f t="shared" si="0"/>
        <v>5293</v>
      </c>
      <c r="N56">
        <f t="shared" si="1"/>
        <v>4156</v>
      </c>
      <c r="O56">
        <f t="shared" si="2"/>
        <v>5205</v>
      </c>
      <c r="P56">
        <f t="shared" si="3"/>
        <v>6980</v>
      </c>
      <c r="Q56" s="1" t="str">
        <f t="shared" si="4"/>
        <v>High</v>
      </c>
    </row>
    <row r="57" spans="1:17">
      <c r="A57" t="s">
        <v>82</v>
      </c>
      <c r="B57" t="s">
        <v>18</v>
      </c>
      <c r="C57" t="s">
        <v>21</v>
      </c>
      <c r="D57">
        <v>0</v>
      </c>
      <c r="E57" t="s">
        <v>20</v>
      </c>
      <c r="F57" t="s">
        <v>21</v>
      </c>
      <c r="G57">
        <v>2750</v>
      </c>
      <c r="H57">
        <v>0</v>
      </c>
      <c r="I57">
        <v>130</v>
      </c>
      <c r="J57">
        <v>360</v>
      </c>
      <c r="K57">
        <v>0</v>
      </c>
      <c r="L57" t="s">
        <v>22</v>
      </c>
      <c r="M57">
        <f t="shared" si="0"/>
        <v>2750</v>
      </c>
      <c r="N57">
        <f t="shared" si="1"/>
        <v>4156</v>
      </c>
      <c r="O57">
        <f t="shared" si="2"/>
        <v>5205</v>
      </c>
      <c r="P57">
        <f t="shared" si="3"/>
        <v>6980</v>
      </c>
      <c r="Q57" s="1" t="str">
        <f t="shared" si="4"/>
        <v>Low</v>
      </c>
    </row>
    <row r="58" spans="1:17">
      <c r="A58" t="s">
        <v>83</v>
      </c>
      <c r="B58" t="s">
        <v>30</v>
      </c>
      <c r="C58" t="s">
        <v>21</v>
      </c>
      <c r="D58">
        <v>0</v>
      </c>
      <c r="E58" t="s">
        <v>27</v>
      </c>
      <c r="F58" t="s">
        <v>21</v>
      </c>
      <c r="G58">
        <v>4402</v>
      </c>
      <c r="H58">
        <v>0</v>
      </c>
      <c r="I58">
        <v>130</v>
      </c>
      <c r="J58">
        <v>360</v>
      </c>
      <c r="K58">
        <v>1</v>
      </c>
      <c r="L58" t="s">
        <v>33</v>
      </c>
      <c r="M58">
        <f t="shared" si="0"/>
        <v>4402</v>
      </c>
      <c r="N58">
        <f t="shared" si="1"/>
        <v>4156</v>
      </c>
      <c r="O58">
        <f t="shared" si="2"/>
        <v>5205</v>
      </c>
      <c r="P58">
        <f t="shared" si="3"/>
        <v>6980</v>
      </c>
      <c r="Q58" s="1" t="str">
        <f t="shared" si="4"/>
        <v>Medium</v>
      </c>
    </row>
    <row r="59" spans="1:17">
      <c r="A59" t="s">
        <v>84</v>
      </c>
      <c r="B59" t="s">
        <v>18</v>
      </c>
      <c r="C59" t="s">
        <v>19</v>
      </c>
      <c r="D59">
        <v>2</v>
      </c>
      <c r="E59" t="s">
        <v>20</v>
      </c>
      <c r="F59" t="s">
        <v>21</v>
      </c>
      <c r="G59">
        <v>3613</v>
      </c>
      <c r="H59">
        <v>3539</v>
      </c>
      <c r="I59">
        <v>134</v>
      </c>
      <c r="J59">
        <v>180</v>
      </c>
      <c r="K59">
        <v>1</v>
      </c>
      <c r="L59" t="s">
        <v>31</v>
      </c>
      <c r="M59">
        <f t="shared" si="0"/>
        <v>7152</v>
      </c>
      <c r="N59">
        <f t="shared" si="1"/>
        <v>4156</v>
      </c>
      <c r="O59">
        <f t="shared" si="2"/>
        <v>5205</v>
      </c>
      <c r="P59">
        <f t="shared" si="3"/>
        <v>6980</v>
      </c>
      <c r="Q59" s="1" t="str">
        <f t="shared" si="4"/>
        <v>Very High</v>
      </c>
    </row>
    <row r="60" spans="1:17">
      <c r="A60" t="s">
        <v>85</v>
      </c>
      <c r="B60" t="s">
        <v>30</v>
      </c>
      <c r="C60" t="s">
        <v>19</v>
      </c>
      <c r="D60">
        <v>2</v>
      </c>
      <c r="E60" t="s">
        <v>20</v>
      </c>
      <c r="F60" t="s">
        <v>21</v>
      </c>
      <c r="G60">
        <v>2779</v>
      </c>
      <c r="H60">
        <v>3664</v>
      </c>
      <c r="I60">
        <v>176</v>
      </c>
      <c r="J60">
        <v>360</v>
      </c>
      <c r="K60">
        <v>0</v>
      </c>
      <c r="L60" t="s">
        <v>31</v>
      </c>
      <c r="M60">
        <f t="shared" si="0"/>
        <v>6443</v>
      </c>
      <c r="N60">
        <f t="shared" si="1"/>
        <v>4156</v>
      </c>
      <c r="O60">
        <f t="shared" si="2"/>
        <v>5205</v>
      </c>
      <c r="P60">
        <f t="shared" si="3"/>
        <v>6980</v>
      </c>
      <c r="Q60" s="1" t="str">
        <f t="shared" si="4"/>
        <v>High</v>
      </c>
    </row>
    <row r="61" spans="1:17">
      <c r="A61" t="s">
        <v>86</v>
      </c>
      <c r="B61" t="s">
        <v>18</v>
      </c>
      <c r="C61" t="s">
        <v>19</v>
      </c>
      <c r="D61">
        <v>3</v>
      </c>
      <c r="E61" t="s">
        <v>20</v>
      </c>
      <c r="F61" t="s">
        <v>21</v>
      </c>
      <c r="G61">
        <v>4720</v>
      </c>
      <c r="H61">
        <v>0</v>
      </c>
      <c r="I61">
        <v>90</v>
      </c>
      <c r="J61">
        <v>180</v>
      </c>
      <c r="K61">
        <v>1</v>
      </c>
      <c r="L61" t="s">
        <v>31</v>
      </c>
      <c r="M61">
        <f t="shared" si="0"/>
        <v>4720</v>
      </c>
      <c r="N61">
        <f t="shared" si="1"/>
        <v>4156</v>
      </c>
      <c r="O61">
        <f t="shared" si="2"/>
        <v>5205</v>
      </c>
      <c r="P61">
        <f t="shared" si="3"/>
        <v>6980</v>
      </c>
      <c r="Q61" s="1" t="str">
        <f t="shared" si="4"/>
        <v>Medium</v>
      </c>
    </row>
    <row r="62" spans="1:17">
      <c r="A62" t="s">
        <v>87</v>
      </c>
      <c r="B62" t="s">
        <v>18</v>
      </c>
      <c r="C62" t="s">
        <v>19</v>
      </c>
      <c r="D62">
        <v>0</v>
      </c>
      <c r="E62" t="s">
        <v>27</v>
      </c>
      <c r="F62" t="s">
        <v>21</v>
      </c>
      <c r="G62">
        <v>2415</v>
      </c>
      <c r="H62">
        <v>1721</v>
      </c>
      <c r="I62">
        <v>110</v>
      </c>
      <c r="J62">
        <v>360</v>
      </c>
      <c r="K62">
        <v>1</v>
      </c>
      <c r="L62" t="s">
        <v>31</v>
      </c>
      <c r="M62">
        <f t="shared" si="0"/>
        <v>4136</v>
      </c>
      <c r="N62">
        <f t="shared" si="1"/>
        <v>4156</v>
      </c>
      <c r="O62">
        <f t="shared" si="2"/>
        <v>5205</v>
      </c>
      <c r="P62">
        <f t="shared" si="3"/>
        <v>6980</v>
      </c>
      <c r="Q62" s="1" t="str">
        <f t="shared" si="4"/>
        <v>Low</v>
      </c>
    </row>
    <row r="63" spans="1:17">
      <c r="A63" t="s">
        <v>88</v>
      </c>
      <c r="B63" t="s">
        <v>18</v>
      </c>
      <c r="C63" t="s">
        <v>19</v>
      </c>
      <c r="D63">
        <v>0</v>
      </c>
      <c r="E63" t="s">
        <v>20</v>
      </c>
      <c r="F63" t="s">
        <v>19</v>
      </c>
      <c r="G63">
        <v>7016</v>
      </c>
      <c r="H63">
        <v>292</v>
      </c>
      <c r="I63">
        <v>125</v>
      </c>
      <c r="J63">
        <v>360</v>
      </c>
      <c r="K63">
        <v>1</v>
      </c>
      <c r="L63" t="s">
        <v>22</v>
      </c>
      <c r="M63">
        <f t="shared" si="0"/>
        <v>7308</v>
      </c>
      <c r="N63">
        <f t="shared" si="1"/>
        <v>4156</v>
      </c>
      <c r="O63">
        <f t="shared" si="2"/>
        <v>5205</v>
      </c>
      <c r="P63">
        <f t="shared" si="3"/>
        <v>6980</v>
      </c>
      <c r="Q63" s="1" t="str">
        <f t="shared" si="4"/>
        <v>Very High</v>
      </c>
    </row>
    <row r="64" spans="1:17">
      <c r="A64" t="s">
        <v>89</v>
      </c>
      <c r="B64" t="s">
        <v>30</v>
      </c>
      <c r="C64" t="s">
        <v>21</v>
      </c>
      <c r="D64">
        <v>2</v>
      </c>
      <c r="E64" t="s">
        <v>20</v>
      </c>
      <c r="F64" t="s">
        <v>21</v>
      </c>
      <c r="G64">
        <v>4968</v>
      </c>
      <c r="H64">
        <v>0</v>
      </c>
      <c r="I64">
        <v>189</v>
      </c>
      <c r="J64">
        <v>360</v>
      </c>
      <c r="K64">
        <v>1</v>
      </c>
      <c r="L64" t="s">
        <v>31</v>
      </c>
      <c r="M64">
        <f t="shared" si="0"/>
        <v>4968</v>
      </c>
      <c r="N64">
        <f t="shared" si="1"/>
        <v>4156</v>
      </c>
      <c r="O64">
        <f t="shared" si="2"/>
        <v>5205</v>
      </c>
      <c r="P64">
        <f t="shared" si="3"/>
        <v>6980</v>
      </c>
      <c r="Q64" s="1" t="str">
        <f t="shared" si="4"/>
        <v>Medium</v>
      </c>
    </row>
    <row r="65" spans="1:17">
      <c r="A65" t="s">
        <v>90</v>
      </c>
      <c r="B65" t="s">
        <v>30</v>
      </c>
      <c r="C65" t="s">
        <v>21</v>
      </c>
      <c r="D65">
        <v>0</v>
      </c>
      <c r="E65" t="s">
        <v>20</v>
      </c>
      <c r="F65" t="s">
        <v>21</v>
      </c>
      <c r="G65">
        <v>2101</v>
      </c>
      <c r="H65">
        <v>1500</v>
      </c>
      <c r="I65">
        <v>108</v>
      </c>
      <c r="J65">
        <v>360</v>
      </c>
      <c r="K65">
        <v>0</v>
      </c>
      <c r="L65" t="s">
        <v>33</v>
      </c>
      <c r="M65">
        <f t="shared" si="0"/>
        <v>3601</v>
      </c>
      <c r="N65">
        <f t="shared" si="1"/>
        <v>4156</v>
      </c>
      <c r="O65">
        <f t="shared" si="2"/>
        <v>5205</v>
      </c>
      <c r="P65">
        <f t="shared" si="3"/>
        <v>6980</v>
      </c>
      <c r="Q65" s="1" t="str">
        <f t="shared" si="4"/>
        <v>Low</v>
      </c>
    </row>
    <row r="66" spans="1:17">
      <c r="A66" t="s">
        <v>91</v>
      </c>
      <c r="B66" t="s">
        <v>18</v>
      </c>
      <c r="C66" t="s">
        <v>19</v>
      </c>
      <c r="D66">
        <v>3</v>
      </c>
      <c r="E66" t="s">
        <v>27</v>
      </c>
      <c r="F66" t="s">
        <v>21</v>
      </c>
      <c r="G66">
        <v>4490</v>
      </c>
      <c r="H66">
        <v>0</v>
      </c>
      <c r="I66">
        <v>125</v>
      </c>
      <c r="J66">
        <v>360</v>
      </c>
      <c r="K66">
        <v>1</v>
      </c>
      <c r="L66" t="s">
        <v>22</v>
      </c>
      <c r="M66">
        <f t="shared" ref="M66:M129" si="5">G66 + H66</f>
        <v>4490</v>
      </c>
      <c r="N66">
        <f t="shared" ref="N66:N129" si="6">PERCENTILE(M:M,0.25)</f>
        <v>4156</v>
      </c>
      <c r="O66">
        <f t="shared" ref="O66:O129" si="7">PERCENTILE(M:M,0.5)</f>
        <v>5205</v>
      </c>
      <c r="P66">
        <f t="shared" ref="P66:P129" si="8">PERCENTILE(M:M,0.75)</f>
        <v>6980</v>
      </c>
      <c r="Q66" s="1" t="str">
        <f t="shared" ref="Q66:Q129" si="9">IF(M66&lt;$N$2,"Low",IF(M66&lt;$O$2,"Medium",IF(M66&lt;$P$2,"High","Very High")))</f>
        <v>Medium</v>
      </c>
    </row>
    <row r="67" spans="1:17">
      <c r="A67" t="s">
        <v>92</v>
      </c>
      <c r="B67" t="s">
        <v>18</v>
      </c>
      <c r="C67" t="s">
        <v>19</v>
      </c>
      <c r="D67">
        <v>0</v>
      </c>
      <c r="E67" t="s">
        <v>20</v>
      </c>
      <c r="F67" t="s">
        <v>21</v>
      </c>
      <c r="G67">
        <v>2917</v>
      </c>
      <c r="H67">
        <v>3583</v>
      </c>
      <c r="I67">
        <v>138</v>
      </c>
      <c r="J67">
        <v>360</v>
      </c>
      <c r="K67">
        <v>1</v>
      </c>
      <c r="L67" t="s">
        <v>31</v>
      </c>
      <c r="M67">
        <f t="shared" si="5"/>
        <v>6500</v>
      </c>
      <c r="N67">
        <f t="shared" si="6"/>
        <v>4156</v>
      </c>
      <c r="O67">
        <f t="shared" si="7"/>
        <v>5205</v>
      </c>
      <c r="P67">
        <f t="shared" si="8"/>
        <v>6980</v>
      </c>
      <c r="Q67" s="1" t="str">
        <f t="shared" si="9"/>
        <v>High</v>
      </c>
    </row>
    <row r="68" spans="1:17">
      <c r="A68" t="s">
        <v>93</v>
      </c>
      <c r="B68" t="s">
        <v>18</v>
      </c>
      <c r="C68" t="s">
        <v>19</v>
      </c>
      <c r="D68">
        <v>0</v>
      </c>
      <c r="E68" t="s">
        <v>27</v>
      </c>
      <c r="F68" t="s">
        <v>21</v>
      </c>
      <c r="G68">
        <v>4700</v>
      </c>
      <c r="H68">
        <v>0</v>
      </c>
      <c r="I68">
        <v>135</v>
      </c>
      <c r="J68">
        <v>360</v>
      </c>
      <c r="K68">
        <v>0</v>
      </c>
      <c r="L68" t="s">
        <v>31</v>
      </c>
      <c r="M68">
        <f t="shared" si="5"/>
        <v>4700</v>
      </c>
      <c r="N68">
        <f t="shared" si="6"/>
        <v>4156</v>
      </c>
      <c r="O68">
        <f t="shared" si="7"/>
        <v>5205</v>
      </c>
      <c r="P68">
        <f t="shared" si="8"/>
        <v>6980</v>
      </c>
      <c r="Q68" s="1" t="str">
        <f t="shared" si="9"/>
        <v>Medium</v>
      </c>
    </row>
    <row r="69" spans="1:17">
      <c r="A69" t="s">
        <v>94</v>
      </c>
      <c r="B69" t="s">
        <v>18</v>
      </c>
      <c r="C69" t="s">
        <v>19</v>
      </c>
      <c r="D69">
        <v>0</v>
      </c>
      <c r="E69" t="s">
        <v>20</v>
      </c>
      <c r="F69" t="s">
        <v>21</v>
      </c>
      <c r="G69">
        <v>3445</v>
      </c>
      <c r="H69">
        <v>0</v>
      </c>
      <c r="I69">
        <v>130</v>
      </c>
      <c r="J69">
        <v>360</v>
      </c>
      <c r="K69">
        <v>0</v>
      </c>
      <c r="L69" t="s">
        <v>31</v>
      </c>
      <c r="M69">
        <f t="shared" si="5"/>
        <v>3445</v>
      </c>
      <c r="N69">
        <f t="shared" si="6"/>
        <v>4156</v>
      </c>
      <c r="O69">
        <f t="shared" si="7"/>
        <v>5205</v>
      </c>
      <c r="P69">
        <f t="shared" si="8"/>
        <v>6980</v>
      </c>
      <c r="Q69" s="1" t="str">
        <f t="shared" si="9"/>
        <v>Low</v>
      </c>
    </row>
    <row r="70" spans="1:17">
      <c r="A70" t="s">
        <v>95</v>
      </c>
      <c r="B70" t="s">
        <v>18</v>
      </c>
      <c r="C70" t="s">
        <v>19</v>
      </c>
      <c r="D70">
        <v>0</v>
      </c>
      <c r="E70" t="s">
        <v>20</v>
      </c>
      <c r="F70" t="s">
        <v>21</v>
      </c>
      <c r="G70">
        <v>7666</v>
      </c>
      <c r="H70">
        <v>0</v>
      </c>
      <c r="I70">
        <v>187</v>
      </c>
      <c r="J70">
        <v>360</v>
      </c>
      <c r="K70">
        <v>1</v>
      </c>
      <c r="L70" t="s">
        <v>31</v>
      </c>
      <c r="M70">
        <f t="shared" si="5"/>
        <v>7666</v>
      </c>
      <c r="N70">
        <f t="shared" si="6"/>
        <v>4156</v>
      </c>
      <c r="O70">
        <f t="shared" si="7"/>
        <v>5205</v>
      </c>
      <c r="P70">
        <f t="shared" si="8"/>
        <v>6980</v>
      </c>
      <c r="Q70" s="1" t="str">
        <f t="shared" si="9"/>
        <v>Very High</v>
      </c>
    </row>
    <row r="71" spans="1:17">
      <c r="A71" t="s">
        <v>96</v>
      </c>
      <c r="B71" t="s">
        <v>18</v>
      </c>
      <c r="C71" t="s">
        <v>19</v>
      </c>
      <c r="D71">
        <v>0</v>
      </c>
      <c r="E71" t="s">
        <v>20</v>
      </c>
      <c r="F71" t="s">
        <v>21</v>
      </c>
      <c r="G71">
        <v>2458</v>
      </c>
      <c r="H71">
        <v>5105</v>
      </c>
      <c r="I71">
        <v>188</v>
      </c>
      <c r="J71">
        <v>360</v>
      </c>
      <c r="K71">
        <v>0</v>
      </c>
      <c r="L71" t="s">
        <v>33</v>
      </c>
      <c r="M71">
        <f t="shared" si="5"/>
        <v>7563</v>
      </c>
      <c r="N71">
        <f t="shared" si="6"/>
        <v>4156</v>
      </c>
      <c r="O71">
        <f t="shared" si="7"/>
        <v>5205</v>
      </c>
      <c r="P71">
        <f t="shared" si="8"/>
        <v>6980</v>
      </c>
      <c r="Q71" s="1" t="str">
        <f t="shared" si="9"/>
        <v>Very High</v>
      </c>
    </row>
    <row r="72" spans="1:17">
      <c r="A72" t="s">
        <v>97</v>
      </c>
      <c r="B72" t="s">
        <v>30</v>
      </c>
      <c r="C72" t="s">
        <v>21</v>
      </c>
      <c r="E72" t="s">
        <v>20</v>
      </c>
      <c r="F72" t="s">
        <v>21</v>
      </c>
      <c r="G72">
        <v>3250</v>
      </c>
      <c r="H72">
        <v>0</v>
      </c>
      <c r="I72">
        <v>95</v>
      </c>
      <c r="J72">
        <v>360</v>
      </c>
      <c r="K72">
        <v>1</v>
      </c>
      <c r="L72" t="s">
        <v>31</v>
      </c>
      <c r="M72">
        <f t="shared" si="5"/>
        <v>3250</v>
      </c>
      <c r="N72">
        <f t="shared" si="6"/>
        <v>4156</v>
      </c>
      <c r="O72">
        <f t="shared" si="7"/>
        <v>5205</v>
      </c>
      <c r="P72">
        <f t="shared" si="8"/>
        <v>6980</v>
      </c>
      <c r="Q72" s="1" t="str">
        <f t="shared" si="9"/>
        <v>Low</v>
      </c>
    </row>
    <row r="73" spans="1:17">
      <c r="A73" t="s">
        <v>98</v>
      </c>
      <c r="B73" t="s">
        <v>18</v>
      </c>
      <c r="C73" t="s">
        <v>21</v>
      </c>
      <c r="D73">
        <v>0</v>
      </c>
      <c r="E73" t="s">
        <v>20</v>
      </c>
      <c r="F73" t="s">
        <v>21</v>
      </c>
      <c r="G73">
        <v>4463</v>
      </c>
      <c r="H73">
        <v>0</v>
      </c>
      <c r="I73">
        <v>65</v>
      </c>
      <c r="J73">
        <v>360</v>
      </c>
      <c r="K73">
        <v>1</v>
      </c>
      <c r="L73" t="s">
        <v>31</v>
      </c>
      <c r="M73">
        <f t="shared" si="5"/>
        <v>4463</v>
      </c>
      <c r="N73">
        <f t="shared" si="6"/>
        <v>4156</v>
      </c>
      <c r="O73">
        <f t="shared" si="7"/>
        <v>5205</v>
      </c>
      <c r="P73">
        <f t="shared" si="8"/>
        <v>6980</v>
      </c>
      <c r="Q73" s="1" t="str">
        <f t="shared" si="9"/>
        <v>Medium</v>
      </c>
    </row>
    <row r="74" spans="1:17">
      <c r="A74" t="s">
        <v>99</v>
      </c>
      <c r="B74" t="s">
        <v>18</v>
      </c>
      <c r="C74" t="s">
        <v>19</v>
      </c>
      <c r="D74">
        <v>1</v>
      </c>
      <c r="E74" t="s">
        <v>20</v>
      </c>
      <c r="F74" t="s">
        <v>35</v>
      </c>
      <c r="G74">
        <v>4083</v>
      </c>
      <c r="H74">
        <v>1775</v>
      </c>
      <c r="I74">
        <v>139</v>
      </c>
      <c r="J74">
        <v>60</v>
      </c>
      <c r="K74">
        <v>1</v>
      </c>
      <c r="L74" t="s">
        <v>22</v>
      </c>
      <c r="M74">
        <f t="shared" si="5"/>
        <v>5858</v>
      </c>
      <c r="N74">
        <f t="shared" si="6"/>
        <v>4156</v>
      </c>
      <c r="O74">
        <f t="shared" si="7"/>
        <v>5205</v>
      </c>
      <c r="P74">
        <f t="shared" si="8"/>
        <v>6980</v>
      </c>
      <c r="Q74" s="1" t="str">
        <f t="shared" si="9"/>
        <v>High</v>
      </c>
    </row>
    <row r="75" spans="1:17">
      <c r="A75" t="s">
        <v>100</v>
      </c>
      <c r="B75" t="s">
        <v>18</v>
      </c>
      <c r="C75" t="s">
        <v>19</v>
      </c>
      <c r="D75">
        <v>0</v>
      </c>
      <c r="E75" t="s">
        <v>20</v>
      </c>
      <c r="F75" t="s">
        <v>19</v>
      </c>
      <c r="G75">
        <v>3900</v>
      </c>
      <c r="H75">
        <v>2094</v>
      </c>
      <c r="I75">
        <v>232</v>
      </c>
      <c r="J75">
        <v>360</v>
      </c>
      <c r="K75">
        <v>1</v>
      </c>
      <c r="L75" t="s">
        <v>33</v>
      </c>
      <c r="M75">
        <f t="shared" si="5"/>
        <v>5994</v>
      </c>
      <c r="N75">
        <f t="shared" si="6"/>
        <v>4156</v>
      </c>
      <c r="O75">
        <f t="shared" si="7"/>
        <v>5205</v>
      </c>
      <c r="P75">
        <f t="shared" si="8"/>
        <v>6980</v>
      </c>
      <c r="Q75" s="1" t="str">
        <f t="shared" si="9"/>
        <v>High</v>
      </c>
    </row>
    <row r="76" spans="1:17">
      <c r="A76" t="s">
        <v>101</v>
      </c>
      <c r="B76" t="s">
        <v>18</v>
      </c>
      <c r="C76" t="s">
        <v>19</v>
      </c>
      <c r="D76">
        <v>0</v>
      </c>
      <c r="E76" t="s">
        <v>27</v>
      </c>
      <c r="F76" t="s">
        <v>21</v>
      </c>
      <c r="G76">
        <v>4750</v>
      </c>
      <c r="H76">
        <v>3583</v>
      </c>
      <c r="I76">
        <v>144</v>
      </c>
      <c r="J76">
        <v>360</v>
      </c>
      <c r="K76">
        <v>1</v>
      </c>
      <c r="L76" t="s">
        <v>31</v>
      </c>
      <c r="M76">
        <f t="shared" si="5"/>
        <v>8333</v>
      </c>
      <c r="N76">
        <f t="shared" si="6"/>
        <v>4156</v>
      </c>
      <c r="O76">
        <f t="shared" si="7"/>
        <v>5205</v>
      </c>
      <c r="P76">
        <f t="shared" si="8"/>
        <v>6980</v>
      </c>
      <c r="Q76" s="1" t="str">
        <f t="shared" si="9"/>
        <v>Very High</v>
      </c>
    </row>
    <row r="77" spans="1:17">
      <c r="A77" t="s">
        <v>102</v>
      </c>
      <c r="B77" t="s">
        <v>18</v>
      </c>
      <c r="C77" t="s">
        <v>21</v>
      </c>
      <c r="D77">
        <v>0</v>
      </c>
      <c r="E77" t="s">
        <v>20</v>
      </c>
      <c r="F77" t="s">
        <v>21</v>
      </c>
      <c r="G77">
        <v>3583</v>
      </c>
      <c r="H77">
        <v>3435</v>
      </c>
      <c r="I77">
        <v>155</v>
      </c>
      <c r="J77">
        <v>360</v>
      </c>
      <c r="K77">
        <v>1</v>
      </c>
      <c r="L77" t="s">
        <v>22</v>
      </c>
      <c r="M77">
        <f t="shared" si="5"/>
        <v>7018</v>
      </c>
      <c r="N77">
        <f t="shared" si="6"/>
        <v>4156</v>
      </c>
      <c r="O77">
        <f t="shared" si="7"/>
        <v>5205</v>
      </c>
      <c r="P77">
        <f t="shared" si="8"/>
        <v>6980</v>
      </c>
      <c r="Q77" s="1" t="str">
        <f t="shared" si="9"/>
        <v>Very High</v>
      </c>
    </row>
    <row r="78" spans="1:17">
      <c r="A78" t="s">
        <v>103</v>
      </c>
      <c r="B78" t="s">
        <v>18</v>
      </c>
      <c r="C78" t="s">
        <v>19</v>
      </c>
      <c r="D78">
        <v>0</v>
      </c>
      <c r="E78" t="s">
        <v>20</v>
      </c>
      <c r="F78" t="s">
        <v>21</v>
      </c>
      <c r="G78">
        <v>3189</v>
      </c>
      <c r="H78">
        <v>2367</v>
      </c>
      <c r="I78">
        <v>186</v>
      </c>
      <c r="J78">
        <v>360</v>
      </c>
      <c r="K78">
        <v>1</v>
      </c>
      <c r="L78" t="s">
        <v>22</v>
      </c>
      <c r="M78">
        <f t="shared" si="5"/>
        <v>5556</v>
      </c>
      <c r="N78">
        <f t="shared" si="6"/>
        <v>4156</v>
      </c>
      <c r="O78">
        <f t="shared" si="7"/>
        <v>5205</v>
      </c>
      <c r="P78">
        <f t="shared" si="8"/>
        <v>6980</v>
      </c>
      <c r="Q78" s="1" t="str">
        <f t="shared" si="9"/>
        <v>High</v>
      </c>
    </row>
    <row r="79" spans="1:17">
      <c r="A79" t="s">
        <v>104</v>
      </c>
      <c r="B79" t="s">
        <v>18</v>
      </c>
      <c r="C79" t="s">
        <v>21</v>
      </c>
      <c r="D79">
        <v>0</v>
      </c>
      <c r="E79" t="s">
        <v>20</v>
      </c>
      <c r="F79" t="s">
        <v>19</v>
      </c>
      <c r="G79">
        <v>6356</v>
      </c>
      <c r="H79">
        <v>0</v>
      </c>
      <c r="I79">
        <v>50</v>
      </c>
      <c r="J79">
        <v>360</v>
      </c>
      <c r="K79">
        <v>1</v>
      </c>
      <c r="L79" t="s">
        <v>33</v>
      </c>
      <c r="M79">
        <f t="shared" si="5"/>
        <v>6356</v>
      </c>
      <c r="N79">
        <f t="shared" si="6"/>
        <v>4156</v>
      </c>
      <c r="O79">
        <f t="shared" si="7"/>
        <v>5205</v>
      </c>
      <c r="P79">
        <f t="shared" si="8"/>
        <v>6980</v>
      </c>
      <c r="Q79" s="1" t="str">
        <f t="shared" si="9"/>
        <v>High</v>
      </c>
    </row>
    <row r="80" spans="1:17">
      <c r="A80" t="s">
        <v>105</v>
      </c>
      <c r="B80" t="s">
        <v>18</v>
      </c>
      <c r="C80" t="s">
        <v>19</v>
      </c>
      <c r="D80">
        <v>1</v>
      </c>
      <c r="E80" t="s">
        <v>20</v>
      </c>
      <c r="F80" t="s">
        <v>21</v>
      </c>
      <c r="G80">
        <v>3413</v>
      </c>
      <c r="H80">
        <v>4053</v>
      </c>
      <c r="J80">
        <v>360</v>
      </c>
      <c r="K80">
        <v>1</v>
      </c>
      <c r="L80" t="s">
        <v>31</v>
      </c>
      <c r="M80">
        <f t="shared" si="5"/>
        <v>7466</v>
      </c>
      <c r="N80">
        <f t="shared" si="6"/>
        <v>4156</v>
      </c>
      <c r="O80">
        <f t="shared" si="7"/>
        <v>5205</v>
      </c>
      <c r="P80">
        <f t="shared" si="8"/>
        <v>6980</v>
      </c>
      <c r="Q80" s="1" t="str">
        <f t="shared" si="9"/>
        <v>Very High</v>
      </c>
    </row>
    <row r="81" spans="1:17">
      <c r="A81" t="s">
        <v>106</v>
      </c>
      <c r="B81" t="s">
        <v>30</v>
      </c>
      <c r="C81" t="s">
        <v>19</v>
      </c>
      <c r="D81">
        <v>0</v>
      </c>
      <c r="E81" t="s">
        <v>20</v>
      </c>
      <c r="F81" t="s">
        <v>21</v>
      </c>
      <c r="G81">
        <v>7950</v>
      </c>
      <c r="H81">
        <v>0</v>
      </c>
      <c r="I81">
        <v>185</v>
      </c>
      <c r="J81">
        <v>360</v>
      </c>
      <c r="K81">
        <v>1</v>
      </c>
      <c r="L81" t="s">
        <v>22</v>
      </c>
      <c r="M81">
        <f t="shared" si="5"/>
        <v>7950</v>
      </c>
      <c r="N81">
        <f t="shared" si="6"/>
        <v>4156</v>
      </c>
      <c r="O81">
        <f t="shared" si="7"/>
        <v>5205</v>
      </c>
      <c r="P81">
        <f t="shared" si="8"/>
        <v>6980</v>
      </c>
      <c r="Q81" s="1" t="str">
        <f t="shared" si="9"/>
        <v>Very High</v>
      </c>
    </row>
    <row r="82" spans="1:17">
      <c r="A82" t="s">
        <v>107</v>
      </c>
      <c r="B82" t="s">
        <v>18</v>
      </c>
      <c r="C82" t="s">
        <v>19</v>
      </c>
      <c r="D82">
        <v>3</v>
      </c>
      <c r="E82" t="s">
        <v>20</v>
      </c>
      <c r="F82" t="s">
        <v>21</v>
      </c>
      <c r="G82">
        <v>3829</v>
      </c>
      <c r="H82">
        <v>1103</v>
      </c>
      <c r="I82">
        <v>163</v>
      </c>
      <c r="J82">
        <v>360</v>
      </c>
      <c r="K82">
        <v>0</v>
      </c>
      <c r="L82" t="s">
        <v>22</v>
      </c>
      <c r="M82">
        <f t="shared" si="5"/>
        <v>4932</v>
      </c>
      <c r="N82">
        <f t="shared" si="6"/>
        <v>4156</v>
      </c>
      <c r="O82">
        <f t="shared" si="7"/>
        <v>5205</v>
      </c>
      <c r="P82">
        <f t="shared" si="8"/>
        <v>6980</v>
      </c>
      <c r="Q82" s="1" t="str">
        <f t="shared" si="9"/>
        <v>Medium</v>
      </c>
    </row>
    <row r="83" spans="1:17">
      <c r="A83" t="s">
        <v>108</v>
      </c>
      <c r="B83" t="s">
        <v>18</v>
      </c>
      <c r="C83" t="s">
        <v>19</v>
      </c>
      <c r="D83">
        <v>3</v>
      </c>
      <c r="E83" t="s">
        <v>20</v>
      </c>
      <c r="F83" t="s">
        <v>21</v>
      </c>
      <c r="G83">
        <v>72529</v>
      </c>
      <c r="H83">
        <v>0</v>
      </c>
      <c r="I83">
        <v>360</v>
      </c>
      <c r="J83">
        <v>360</v>
      </c>
      <c r="K83">
        <v>1</v>
      </c>
      <c r="L83" t="s">
        <v>22</v>
      </c>
      <c r="M83">
        <f t="shared" si="5"/>
        <v>72529</v>
      </c>
      <c r="N83">
        <f t="shared" si="6"/>
        <v>4156</v>
      </c>
      <c r="O83">
        <f t="shared" si="7"/>
        <v>5205</v>
      </c>
      <c r="P83">
        <f t="shared" si="8"/>
        <v>6980</v>
      </c>
      <c r="Q83" s="1" t="str">
        <f t="shared" si="9"/>
        <v>Very High</v>
      </c>
    </row>
    <row r="84" spans="1:17">
      <c r="A84" t="s">
        <v>109</v>
      </c>
      <c r="B84" t="s">
        <v>18</v>
      </c>
      <c r="C84" t="s">
        <v>19</v>
      </c>
      <c r="D84">
        <v>2</v>
      </c>
      <c r="E84" t="s">
        <v>27</v>
      </c>
      <c r="F84" t="s">
        <v>21</v>
      </c>
      <c r="G84">
        <v>4136</v>
      </c>
      <c r="H84">
        <v>0</v>
      </c>
      <c r="I84">
        <v>149</v>
      </c>
      <c r="J84">
        <v>480</v>
      </c>
      <c r="K84">
        <v>0</v>
      </c>
      <c r="L84" t="s">
        <v>33</v>
      </c>
      <c r="M84">
        <f t="shared" si="5"/>
        <v>4136</v>
      </c>
      <c r="N84">
        <f t="shared" si="6"/>
        <v>4156</v>
      </c>
      <c r="O84">
        <f t="shared" si="7"/>
        <v>5205</v>
      </c>
      <c r="P84">
        <f t="shared" si="8"/>
        <v>6980</v>
      </c>
      <c r="Q84" s="1" t="str">
        <f t="shared" si="9"/>
        <v>Low</v>
      </c>
    </row>
    <row r="85" spans="1:17">
      <c r="A85" t="s">
        <v>110</v>
      </c>
      <c r="B85" t="s">
        <v>18</v>
      </c>
      <c r="C85" t="s">
        <v>19</v>
      </c>
      <c r="D85">
        <v>0</v>
      </c>
      <c r="E85" t="s">
        <v>20</v>
      </c>
      <c r="F85" t="s">
        <v>21</v>
      </c>
      <c r="G85">
        <v>8449</v>
      </c>
      <c r="H85">
        <v>0</v>
      </c>
      <c r="I85">
        <v>257</v>
      </c>
      <c r="J85">
        <v>360</v>
      </c>
      <c r="K85">
        <v>1</v>
      </c>
      <c r="L85" t="s">
        <v>33</v>
      </c>
      <c r="M85">
        <f t="shared" si="5"/>
        <v>8449</v>
      </c>
      <c r="N85">
        <f t="shared" si="6"/>
        <v>4156</v>
      </c>
      <c r="O85">
        <f t="shared" si="7"/>
        <v>5205</v>
      </c>
      <c r="P85">
        <f t="shared" si="8"/>
        <v>6980</v>
      </c>
      <c r="Q85" s="1" t="str">
        <f t="shared" si="9"/>
        <v>Very High</v>
      </c>
    </row>
    <row r="86" spans="1:17">
      <c r="A86" t="s">
        <v>111</v>
      </c>
      <c r="B86" t="s">
        <v>18</v>
      </c>
      <c r="C86" t="s">
        <v>19</v>
      </c>
      <c r="D86">
        <v>0</v>
      </c>
      <c r="E86" t="s">
        <v>20</v>
      </c>
      <c r="F86" t="s">
        <v>21</v>
      </c>
      <c r="G86">
        <v>4456</v>
      </c>
      <c r="H86">
        <v>0</v>
      </c>
      <c r="I86">
        <v>131</v>
      </c>
      <c r="J86">
        <v>180</v>
      </c>
      <c r="K86">
        <v>0</v>
      </c>
      <c r="L86" t="s">
        <v>31</v>
      </c>
      <c r="M86">
        <f t="shared" si="5"/>
        <v>4456</v>
      </c>
      <c r="N86">
        <f t="shared" si="6"/>
        <v>4156</v>
      </c>
      <c r="O86">
        <f t="shared" si="7"/>
        <v>5205</v>
      </c>
      <c r="P86">
        <f t="shared" si="8"/>
        <v>6980</v>
      </c>
      <c r="Q86" s="1" t="str">
        <f t="shared" si="9"/>
        <v>Medium</v>
      </c>
    </row>
    <row r="87" spans="1:17">
      <c r="A87" t="s">
        <v>112</v>
      </c>
      <c r="B87" t="s">
        <v>18</v>
      </c>
      <c r="C87" t="s">
        <v>19</v>
      </c>
      <c r="D87">
        <v>2</v>
      </c>
      <c r="E87" t="s">
        <v>20</v>
      </c>
      <c r="F87" t="s">
        <v>21</v>
      </c>
      <c r="G87">
        <v>4635</v>
      </c>
      <c r="H87">
        <v>8000</v>
      </c>
      <c r="I87">
        <v>102</v>
      </c>
      <c r="J87">
        <v>180</v>
      </c>
      <c r="K87">
        <v>1</v>
      </c>
      <c r="L87" t="s">
        <v>33</v>
      </c>
      <c r="M87">
        <f t="shared" si="5"/>
        <v>12635</v>
      </c>
      <c r="N87">
        <f t="shared" si="6"/>
        <v>4156</v>
      </c>
      <c r="O87">
        <f t="shared" si="7"/>
        <v>5205</v>
      </c>
      <c r="P87">
        <f t="shared" si="8"/>
        <v>6980</v>
      </c>
      <c r="Q87" s="1" t="str">
        <f t="shared" si="9"/>
        <v>Very High</v>
      </c>
    </row>
    <row r="88" spans="1:17">
      <c r="A88" t="s">
        <v>113</v>
      </c>
      <c r="B88" t="s">
        <v>18</v>
      </c>
      <c r="C88" t="s">
        <v>19</v>
      </c>
      <c r="D88">
        <v>0</v>
      </c>
      <c r="E88" t="s">
        <v>20</v>
      </c>
      <c r="F88" t="s">
        <v>21</v>
      </c>
      <c r="G88">
        <v>3571</v>
      </c>
      <c r="H88">
        <v>1917</v>
      </c>
      <c r="I88">
        <v>135</v>
      </c>
      <c r="J88">
        <v>360</v>
      </c>
      <c r="K88">
        <v>1</v>
      </c>
      <c r="L88" t="s">
        <v>22</v>
      </c>
      <c r="M88">
        <f t="shared" si="5"/>
        <v>5488</v>
      </c>
      <c r="N88">
        <f t="shared" si="6"/>
        <v>4156</v>
      </c>
      <c r="O88">
        <f t="shared" si="7"/>
        <v>5205</v>
      </c>
      <c r="P88">
        <f t="shared" si="8"/>
        <v>6980</v>
      </c>
      <c r="Q88" s="1" t="str">
        <f t="shared" si="9"/>
        <v>High</v>
      </c>
    </row>
    <row r="89" spans="1:17">
      <c r="A89" t="s">
        <v>114</v>
      </c>
      <c r="B89" t="s">
        <v>18</v>
      </c>
      <c r="C89" t="s">
        <v>21</v>
      </c>
      <c r="D89">
        <v>0</v>
      </c>
      <c r="E89" t="s">
        <v>20</v>
      </c>
      <c r="F89" t="s">
        <v>21</v>
      </c>
      <c r="G89">
        <v>3066</v>
      </c>
      <c r="H89">
        <v>0</v>
      </c>
      <c r="I89">
        <v>95</v>
      </c>
      <c r="J89">
        <v>360</v>
      </c>
      <c r="K89">
        <v>1</v>
      </c>
      <c r="L89" t="s">
        <v>31</v>
      </c>
      <c r="M89">
        <f t="shared" si="5"/>
        <v>3066</v>
      </c>
      <c r="N89">
        <f t="shared" si="6"/>
        <v>4156</v>
      </c>
      <c r="O89">
        <f t="shared" si="7"/>
        <v>5205</v>
      </c>
      <c r="P89">
        <f t="shared" si="8"/>
        <v>6980</v>
      </c>
      <c r="Q89" s="1" t="str">
        <f t="shared" si="9"/>
        <v>Low</v>
      </c>
    </row>
    <row r="90" spans="1:17">
      <c r="A90" t="s">
        <v>115</v>
      </c>
      <c r="B90" t="s">
        <v>18</v>
      </c>
      <c r="C90" t="s">
        <v>21</v>
      </c>
      <c r="D90">
        <v>2</v>
      </c>
      <c r="E90" t="s">
        <v>27</v>
      </c>
      <c r="F90" t="s">
        <v>21</v>
      </c>
      <c r="G90">
        <v>3235</v>
      </c>
      <c r="H90">
        <v>2015</v>
      </c>
      <c r="I90">
        <v>77</v>
      </c>
      <c r="J90">
        <v>360</v>
      </c>
      <c r="K90">
        <v>1</v>
      </c>
      <c r="L90" t="s">
        <v>31</v>
      </c>
      <c r="M90">
        <f t="shared" si="5"/>
        <v>5250</v>
      </c>
      <c r="N90">
        <f t="shared" si="6"/>
        <v>4156</v>
      </c>
      <c r="O90">
        <f t="shared" si="7"/>
        <v>5205</v>
      </c>
      <c r="P90">
        <f t="shared" si="8"/>
        <v>6980</v>
      </c>
      <c r="Q90" s="1" t="str">
        <f t="shared" si="9"/>
        <v>High</v>
      </c>
    </row>
    <row r="91" spans="1:17">
      <c r="A91" t="s">
        <v>116</v>
      </c>
      <c r="B91" t="s">
        <v>30</v>
      </c>
      <c r="C91" t="s">
        <v>21</v>
      </c>
      <c r="D91">
        <v>0</v>
      </c>
      <c r="E91" t="s">
        <v>20</v>
      </c>
      <c r="F91" t="s">
        <v>35</v>
      </c>
      <c r="G91">
        <v>5058</v>
      </c>
      <c r="H91">
        <v>0</v>
      </c>
      <c r="I91">
        <v>200</v>
      </c>
      <c r="J91">
        <v>360</v>
      </c>
      <c r="K91">
        <v>1</v>
      </c>
      <c r="L91" t="s">
        <v>33</v>
      </c>
      <c r="M91">
        <f t="shared" si="5"/>
        <v>5058</v>
      </c>
      <c r="N91">
        <f t="shared" si="6"/>
        <v>4156</v>
      </c>
      <c r="O91">
        <f t="shared" si="7"/>
        <v>5205</v>
      </c>
      <c r="P91">
        <f t="shared" si="8"/>
        <v>6980</v>
      </c>
      <c r="Q91" s="1" t="str">
        <f t="shared" si="9"/>
        <v>Medium</v>
      </c>
    </row>
    <row r="92" spans="1:17">
      <c r="A92" t="s">
        <v>117</v>
      </c>
      <c r="B92" t="s">
        <v>18</v>
      </c>
      <c r="C92" t="s">
        <v>19</v>
      </c>
      <c r="D92">
        <v>0</v>
      </c>
      <c r="E92" t="s">
        <v>20</v>
      </c>
      <c r="F92" t="s">
        <v>19</v>
      </c>
      <c r="G92">
        <v>3188</v>
      </c>
      <c r="H92">
        <v>2286</v>
      </c>
      <c r="I92">
        <v>130</v>
      </c>
      <c r="J92">
        <v>360</v>
      </c>
      <c r="L92" t="s">
        <v>33</v>
      </c>
      <c r="M92">
        <f t="shared" si="5"/>
        <v>5474</v>
      </c>
      <c r="N92">
        <f t="shared" si="6"/>
        <v>4156</v>
      </c>
      <c r="O92">
        <f t="shared" si="7"/>
        <v>5205</v>
      </c>
      <c r="P92">
        <f t="shared" si="8"/>
        <v>6980</v>
      </c>
      <c r="Q92" s="1" t="str">
        <f t="shared" si="9"/>
        <v>High</v>
      </c>
    </row>
    <row r="93" spans="1:17">
      <c r="A93" t="s">
        <v>118</v>
      </c>
      <c r="B93" t="s">
        <v>18</v>
      </c>
      <c r="C93" t="s">
        <v>19</v>
      </c>
      <c r="D93">
        <v>3</v>
      </c>
      <c r="E93" t="s">
        <v>20</v>
      </c>
      <c r="F93" t="s">
        <v>21</v>
      </c>
      <c r="G93">
        <v>13518</v>
      </c>
      <c r="H93">
        <v>0</v>
      </c>
      <c r="I93">
        <v>390</v>
      </c>
      <c r="J93">
        <v>360</v>
      </c>
      <c r="K93">
        <v>1</v>
      </c>
      <c r="L93" t="s">
        <v>33</v>
      </c>
      <c r="M93">
        <f t="shared" si="5"/>
        <v>13518</v>
      </c>
      <c r="N93">
        <f t="shared" si="6"/>
        <v>4156</v>
      </c>
      <c r="O93">
        <f t="shared" si="7"/>
        <v>5205</v>
      </c>
      <c r="P93">
        <f t="shared" si="8"/>
        <v>6980</v>
      </c>
      <c r="Q93" s="1" t="str">
        <f t="shared" si="9"/>
        <v>Very High</v>
      </c>
    </row>
    <row r="94" spans="1:17">
      <c r="A94" t="s">
        <v>119</v>
      </c>
      <c r="B94" t="s">
        <v>18</v>
      </c>
      <c r="C94" t="s">
        <v>19</v>
      </c>
      <c r="D94">
        <v>1</v>
      </c>
      <c r="E94" t="s">
        <v>20</v>
      </c>
      <c r="F94" t="s">
        <v>21</v>
      </c>
      <c r="G94">
        <v>4364</v>
      </c>
      <c r="H94">
        <v>2500</v>
      </c>
      <c r="I94">
        <v>185</v>
      </c>
      <c r="J94">
        <v>360</v>
      </c>
      <c r="K94">
        <v>1</v>
      </c>
      <c r="L94" t="s">
        <v>31</v>
      </c>
      <c r="M94">
        <f t="shared" si="5"/>
        <v>6864</v>
      </c>
      <c r="N94">
        <f t="shared" si="6"/>
        <v>4156</v>
      </c>
      <c r="O94">
        <f t="shared" si="7"/>
        <v>5205</v>
      </c>
      <c r="P94">
        <f t="shared" si="8"/>
        <v>6980</v>
      </c>
      <c r="Q94" s="1" t="str">
        <f t="shared" si="9"/>
        <v>High</v>
      </c>
    </row>
    <row r="95" spans="1:17">
      <c r="A95" t="s">
        <v>120</v>
      </c>
      <c r="B95" t="s">
        <v>18</v>
      </c>
      <c r="C95" t="s">
        <v>19</v>
      </c>
      <c r="D95">
        <v>2</v>
      </c>
      <c r="E95" t="s">
        <v>27</v>
      </c>
      <c r="F95" t="s">
        <v>21</v>
      </c>
      <c r="G95">
        <v>4766</v>
      </c>
      <c r="H95">
        <v>1646</v>
      </c>
      <c r="I95">
        <v>100</v>
      </c>
      <c r="J95">
        <v>360</v>
      </c>
      <c r="K95">
        <v>1</v>
      </c>
      <c r="L95" t="s">
        <v>31</v>
      </c>
      <c r="M95">
        <f t="shared" si="5"/>
        <v>6412</v>
      </c>
      <c r="N95">
        <f t="shared" si="6"/>
        <v>4156</v>
      </c>
      <c r="O95">
        <f t="shared" si="7"/>
        <v>5205</v>
      </c>
      <c r="P95">
        <f t="shared" si="8"/>
        <v>6980</v>
      </c>
      <c r="Q95" s="1" t="str">
        <f t="shared" si="9"/>
        <v>High</v>
      </c>
    </row>
    <row r="96" spans="1:17">
      <c r="A96" t="s">
        <v>121</v>
      </c>
      <c r="B96" t="s">
        <v>18</v>
      </c>
      <c r="C96" t="s">
        <v>19</v>
      </c>
      <c r="D96">
        <v>1</v>
      </c>
      <c r="E96" t="s">
        <v>20</v>
      </c>
      <c r="F96" t="s">
        <v>21</v>
      </c>
      <c r="G96">
        <v>4609</v>
      </c>
      <c r="H96">
        <v>2333</v>
      </c>
      <c r="I96">
        <v>123</v>
      </c>
      <c r="J96">
        <v>360</v>
      </c>
      <c r="K96">
        <v>0</v>
      </c>
      <c r="L96" t="s">
        <v>31</v>
      </c>
      <c r="M96">
        <f t="shared" si="5"/>
        <v>6942</v>
      </c>
      <c r="N96">
        <f t="shared" si="6"/>
        <v>4156</v>
      </c>
      <c r="O96">
        <f t="shared" si="7"/>
        <v>5205</v>
      </c>
      <c r="P96">
        <f t="shared" si="8"/>
        <v>6980</v>
      </c>
      <c r="Q96" s="1" t="str">
        <f t="shared" si="9"/>
        <v>High</v>
      </c>
    </row>
    <row r="97" spans="1:17">
      <c r="A97" t="s">
        <v>122</v>
      </c>
      <c r="B97" t="s">
        <v>30</v>
      </c>
      <c r="C97" t="s">
        <v>19</v>
      </c>
      <c r="D97">
        <v>3</v>
      </c>
      <c r="E97" t="s">
        <v>20</v>
      </c>
      <c r="F97" t="s">
        <v>21</v>
      </c>
      <c r="G97">
        <v>6260</v>
      </c>
      <c r="H97">
        <v>0</v>
      </c>
      <c r="I97">
        <v>110</v>
      </c>
      <c r="J97">
        <v>360</v>
      </c>
      <c r="K97">
        <v>1</v>
      </c>
      <c r="L97" t="s">
        <v>31</v>
      </c>
      <c r="M97">
        <f t="shared" si="5"/>
        <v>6260</v>
      </c>
      <c r="N97">
        <f t="shared" si="6"/>
        <v>4156</v>
      </c>
      <c r="O97">
        <f t="shared" si="7"/>
        <v>5205</v>
      </c>
      <c r="P97">
        <f t="shared" si="8"/>
        <v>6980</v>
      </c>
      <c r="Q97" s="1" t="str">
        <f t="shared" si="9"/>
        <v>High</v>
      </c>
    </row>
    <row r="98" spans="1:17">
      <c r="A98" t="s">
        <v>123</v>
      </c>
      <c r="B98" t="s">
        <v>18</v>
      </c>
      <c r="C98" t="s">
        <v>19</v>
      </c>
      <c r="D98">
        <v>1</v>
      </c>
      <c r="E98" t="s">
        <v>20</v>
      </c>
      <c r="F98" t="s">
        <v>21</v>
      </c>
      <c r="G98">
        <v>3333</v>
      </c>
      <c r="H98">
        <v>4200</v>
      </c>
      <c r="I98">
        <v>256</v>
      </c>
      <c r="J98">
        <v>360</v>
      </c>
      <c r="K98">
        <v>1</v>
      </c>
      <c r="L98" t="s">
        <v>22</v>
      </c>
      <c r="M98">
        <f t="shared" si="5"/>
        <v>7533</v>
      </c>
      <c r="N98">
        <f t="shared" si="6"/>
        <v>4156</v>
      </c>
      <c r="O98">
        <f t="shared" si="7"/>
        <v>5205</v>
      </c>
      <c r="P98">
        <f t="shared" si="8"/>
        <v>6980</v>
      </c>
      <c r="Q98" s="1" t="str">
        <f t="shared" si="9"/>
        <v>Very High</v>
      </c>
    </row>
    <row r="99" spans="1:17">
      <c r="A99" t="s">
        <v>124</v>
      </c>
      <c r="B99" t="s">
        <v>18</v>
      </c>
      <c r="C99" t="s">
        <v>19</v>
      </c>
      <c r="D99">
        <v>0</v>
      </c>
      <c r="E99" t="s">
        <v>20</v>
      </c>
      <c r="F99" t="s">
        <v>21</v>
      </c>
      <c r="G99">
        <v>3500</v>
      </c>
      <c r="H99">
        <v>3250</v>
      </c>
      <c r="I99">
        <v>140</v>
      </c>
      <c r="J99">
        <v>360</v>
      </c>
      <c r="K99">
        <v>1</v>
      </c>
      <c r="L99" t="s">
        <v>31</v>
      </c>
      <c r="M99">
        <f t="shared" si="5"/>
        <v>6750</v>
      </c>
      <c r="N99">
        <f t="shared" si="6"/>
        <v>4156</v>
      </c>
      <c r="O99">
        <f t="shared" si="7"/>
        <v>5205</v>
      </c>
      <c r="P99">
        <f t="shared" si="8"/>
        <v>6980</v>
      </c>
      <c r="Q99" s="1" t="str">
        <f t="shared" si="9"/>
        <v>High</v>
      </c>
    </row>
    <row r="100" spans="1:17">
      <c r="A100" t="s">
        <v>125</v>
      </c>
      <c r="B100" t="s">
        <v>18</v>
      </c>
      <c r="C100" t="s">
        <v>19</v>
      </c>
      <c r="D100">
        <v>3</v>
      </c>
      <c r="E100" t="s">
        <v>20</v>
      </c>
      <c r="F100" t="s">
        <v>21</v>
      </c>
      <c r="G100">
        <v>9719</v>
      </c>
      <c r="H100">
        <v>0</v>
      </c>
      <c r="I100">
        <v>61</v>
      </c>
      <c r="J100">
        <v>360</v>
      </c>
      <c r="K100">
        <v>1</v>
      </c>
      <c r="L100" t="s">
        <v>22</v>
      </c>
      <c r="M100">
        <f t="shared" si="5"/>
        <v>9719</v>
      </c>
      <c r="N100">
        <f t="shared" si="6"/>
        <v>4156</v>
      </c>
      <c r="O100">
        <f t="shared" si="7"/>
        <v>5205</v>
      </c>
      <c r="P100">
        <f t="shared" si="8"/>
        <v>6980</v>
      </c>
      <c r="Q100" s="1" t="str">
        <f t="shared" si="9"/>
        <v>Very High</v>
      </c>
    </row>
    <row r="101" spans="1:17">
      <c r="A101" t="s">
        <v>126</v>
      </c>
      <c r="B101" t="s">
        <v>18</v>
      </c>
      <c r="C101" t="s">
        <v>19</v>
      </c>
      <c r="D101">
        <v>3</v>
      </c>
      <c r="E101" t="s">
        <v>20</v>
      </c>
      <c r="F101" t="s">
        <v>21</v>
      </c>
      <c r="G101">
        <v>6835</v>
      </c>
      <c r="H101">
        <v>0</v>
      </c>
      <c r="I101">
        <v>188</v>
      </c>
      <c r="J101">
        <v>360</v>
      </c>
      <c r="L101" t="s">
        <v>31</v>
      </c>
      <c r="M101">
        <f t="shared" si="5"/>
        <v>6835</v>
      </c>
      <c r="N101">
        <f t="shared" si="6"/>
        <v>4156</v>
      </c>
      <c r="O101">
        <f t="shared" si="7"/>
        <v>5205</v>
      </c>
      <c r="P101">
        <f t="shared" si="8"/>
        <v>6980</v>
      </c>
      <c r="Q101" s="1" t="str">
        <f t="shared" si="9"/>
        <v>High</v>
      </c>
    </row>
    <row r="102" spans="1:17">
      <c r="A102" t="s">
        <v>127</v>
      </c>
      <c r="B102" t="s">
        <v>18</v>
      </c>
      <c r="C102" t="s">
        <v>21</v>
      </c>
      <c r="D102">
        <v>0</v>
      </c>
      <c r="E102" t="s">
        <v>20</v>
      </c>
      <c r="F102" t="s">
        <v>21</v>
      </c>
      <c r="G102">
        <v>4452</v>
      </c>
      <c r="H102">
        <v>0</v>
      </c>
      <c r="I102">
        <v>131</v>
      </c>
      <c r="J102">
        <v>360</v>
      </c>
      <c r="K102">
        <v>1</v>
      </c>
      <c r="L102" t="s">
        <v>33</v>
      </c>
      <c r="M102">
        <f t="shared" si="5"/>
        <v>4452</v>
      </c>
      <c r="N102">
        <f t="shared" si="6"/>
        <v>4156</v>
      </c>
      <c r="O102">
        <f t="shared" si="7"/>
        <v>5205</v>
      </c>
      <c r="P102">
        <f t="shared" si="8"/>
        <v>6980</v>
      </c>
      <c r="Q102" s="1" t="str">
        <f t="shared" si="9"/>
        <v>Medium</v>
      </c>
    </row>
    <row r="103" spans="1:17">
      <c r="A103" t="s">
        <v>128</v>
      </c>
      <c r="B103" t="s">
        <v>30</v>
      </c>
      <c r="C103" t="s">
        <v>19</v>
      </c>
      <c r="D103">
        <v>0</v>
      </c>
      <c r="E103" t="s">
        <v>20</v>
      </c>
      <c r="F103" t="s">
        <v>21</v>
      </c>
      <c r="G103">
        <v>2262</v>
      </c>
      <c r="H103">
        <v>0</v>
      </c>
      <c r="J103">
        <v>480</v>
      </c>
      <c r="K103">
        <v>0</v>
      </c>
      <c r="L103" t="s">
        <v>31</v>
      </c>
      <c r="M103">
        <f t="shared" si="5"/>
        <v>2262</v>
      </c>
      <c r="N103">
        <f t="shared" si="6"/>
        <v>4156</v>
      </c>
      <c r="O103">
        <f t="shared" si="7"/>
        <v>5205</v>
      </c>
      <c r="P103">
        <f t="shared" si="8"/>
        <v>6980</v>
      </c>
      <c r="Q103" s="1" t="str">
        <f t="shared" si="9"/>
        <v>Low</v>
      </c>
    </row>
    <row r="104" spans="1:17">
      <c r="A104" t="s">
        <v>129</v>
      </c>
      <c r="B104" t="s">
        <v>18</v>
      </c>
      <c r="C104" t="s">
        <v>19</v>
      </c>
      <c r="D104">
        <v>1</v>
      </c>
      <c r="E104" t="s">
        <v>20</v>
      </c>
      <c r="F104" t="s">
        <v>21</v>
      </c>
      <c r="G104">
        <v>3901</v>
      </c>
      <c r="H104">
        <v>0</v>
      </c>
      <c r="I104">
        <v>116</v>
      </c>
      <c r="J104">
        <v>360</v>
      </c>
      <c r="K104">
        <v>1</v>
      </c>
      <c r="L104" t="s">
        <v>22</v>
      </c>
      <c r="M104">
        <f t="shared" si="5"/>
        <v>3901</v>
      </c>
      <c r="N104">
        <f t="shared" si="6"/>
        <v>4156</v>
      </c>
      <c r="O104">
        <f t="shared" si="7"/>
        <v>5205</v>
      </c>
      <c r="P104">
        <f t="shared" si="8"/>
        <v>6980</v>
      </c>
      <c r="Q104" s="1" t="str">
        <f t="shared" si="9"/>
        <v>Low</v>
      </c>
    </row>
    <row r="105" spans="1:17">
      <c r="A105" t="s">
        <v>130</v>
      </c>
      <c r="B105" t="s">
        <v>18</v>
      </c>
      <c r="C105" t="s">
        <v>19</v>
      </c>
      <c r="D105">
        <v>2</v>
      </c>
      <c r="E105" t="s">
        <v>27</v>
      </c>
      <c r="F105" t="s">
        <v>21</v>
      </c>
      <c r="G105">
        <v>2687</v>
      </c>
      <c r="H105">
        <v>0</v>
      </c>
      <c r="I105">
        <v>50</v>
      </c>
      <c r="J105">
        <v>180</v>
      </c>
      <c r="K105">
        <v>1</v>
      </c>
      <c r="L105" t="s">
        <v>33</v>
      </c>
      <c r="M105">
        <f t="shared" si="5"/>
        <v>2687</v>
      </c>
      <c r="N105">
        <f t="shared" si="6"/>
        <v>4156</v>
      </c>
      <c r="O105">
        <f t="shared" si="7"/>
        <v>5205</v>
      </c>
      <c r="P105">
        <f t="shared" si="8"/>
        <v>6980</v>
      </c>
      <c r="Q105" s="1" t="str">
        <f t="shared" si="9"/>
        <v>Low</v>
      </c>
    </row>
    <row r="106" spans="1:17">
      <c r="A106" t="s">
        <v>131</v>
      </c>
      <c r="B106" t="s">
        <v>18</v>
      </c>
      <c r="C106" t="s">
        <v>21</v>
      </c>
      <c r="D106">
        <v>0</v>
      </c>
      <c r="E106" t="s">
        <v>20</v>
      </c>
      <c r="F106" t="s">
        <v>21</v>
      </c>
      <c r="G106">
        <v>2243</v>
      </c>
      <c r="H106">
        <v>2233</v>
      </c>
      <c r="I106">
        <v>107</v>
      </c>
      <c r="J106">
        <v>360</v>
      </c>
      <c r="L106" t="s">
        <v>31</v>
      </c>
      <c r="M106">
        <f t="shared" si="5"/>
        <v>4476</v>
      </c>
      <c r="N106">
        <f t="shared" si="6"/>
        <v>4156</v>
      </c>
      <c r="O106">
        <f t="shared" si="7"/>
        <v>5205</v>
      </c>
      <c r="P106">
        <f t="shared" si="8"/>
        <v>6980</v>
      </c>
      <c r="Q106" s="1" t="str">
        <f t="shared" si="9"/>
        <v>Medium</v>
      </c>
    </row>
    <row r="107" spans="1:17">
      <c r="A107" t="s">
        <v>132</v>
      </c>
      <c r="B107" t="s">
        <v>30</v>
      </c>
      <c r="C107" t="s">
        <v>19</v>
      </c>
      <c r="D107">
        <v>0</v>
      </c>
      <c r="E107" t="s">
        <v>20</v>
      </c>
      <c r="F107" t="s">
        <v>21</v>
      </c>
      <c r="G107">
        <v>3417</v>
      </c>
      <c r="H107">
        <v>1287</v>
      </c>
      <c r="I107">
        <v>200</v>
      </c>
      <c r="J107">
        <v>360</v>
      </c>
      <c r="K107">
        <v>1</v>
      </c>
      <c r="L107" t="s">
        <v>31</v>
      </c>
      <c r="M107">
        <f t="shared" si="5"/>
        <v>4704</v>
      </c>
      <c r="N107">
        <f t="shared" si="6"/>
        <v>4156</v>
      </c>
      <c r="O107">
        <f t="shared" si="7"/>
        <v>5205</v>
      </c>
      <c r="P107">
        <f t="shared" si="8"/>
        <v>6980</v>
      </c>
      <c r="Q107" s="1" t="str">
        <f t="shared" si="9"/>
        <v>Medium</v>
      </c>
    </row>
    <row r="108" spans="1:17">
      <c r="A108" t="s">
        <v>133</v>
      </c>
      <c r="B108" t="s">
        <v>35</v>
      </c>
      <c r="C108" t="s">
        <v>21</v>
      </c>
      <c r="D108">
        <v>0</v>
      </c>
      <c r="E108" t="s">
        <v>20</v>
      </c>
      <c r="F108" t="s">
        <v>21</v>
      </c>
      <c r="G108">
        <v>1596</v>
      </c>
      <c r="H108">
        <v>1760</v>
      </c>
      <c r="I108">
        <v>119</v>
      </c>
      <c r="J108">
        <v>360</v>
      </c>
      <c r="K108">
        <v>0</v>
      </c>
      <c r="L108" t="s">
        <v>22</v>
      </c>
      <c r="M108">
        <f t="shared" si="5"/>
        <v>3356</v>
      </c>
      <c r="N108">
        <f t="shared" si="6"/>
        <v>4156</v>
      </c>
      <c r="O108">
        <f t="shared" si="7"/>
        <v>5205</v>
      </c>
      <c r="P108">
        <f t="shared" si="8"/>
        <v>6980</v>
      </c>
      <c r="Q108" s="1" t="str">
        <f t="shared" si="9"/>
        <v>Low</v>
      </c>
    </row>
    <row r="109" spans="1:17">
      <c r="A109" t="s">
        <v>134</v>
      </c>
      <c r="B109" t="s">
        <v>18</v>
      </c>
      <c r="C109" t="s">
        <v>19</v>
      </c>
      <c r="D109">
        <v>3</v>
      </c>
      <c r="E109" t="s">
        <v>20</v>
      </c>
      <c r="F109" t="s">
        <v>21</v>
      </c>
      <c r="G109">
        <v>4513</v>
      </c>
      <c r="H109">
        <v>0</v>
      </c>
      <c r="I109">
        <v>120</v>
      </c>
      <c r="J109">
        <v>360</v>
      </c>
      <c r="K109">
        <v>1</v>
      </c>
      <c r="L109" t="s">
        <v>33</v>
      </c>
      <c r="M109">
        <f t="shared" si="5"/>
        <v>4513</v>
      </c>
      <c r="N109">
        <f t="shared" si="6"/>
        <v>4156</v>
      </c>
      <c r="O109">
        <f t="shared" si="7"/>
        <v>5205</v>
      </c>
      <c r="P109">
        <f t="shared" si="8"/>
        <v>6980</v>
      </c>
      <c r="Q109" s="1" t="str">
        <f t="shared" si="9"/>
        <v>Medium</v>
      </c>
    </row>
    <row r="110" spans="1:17">
      <c r="A110" t="s">
        <v>135</v>
      </c>
      <c r="B110" t="s">
        <v>18</v>
      </c>
      <c r="C110" t="s">
        <v>19</v>
      </c>
      <c r="D110">
        <v>0</v>
      </c>
      <c r="E110" t="s">
        <v>20</v>
      </c>
      <c r="F110" t="s">
        <v>21</v>
      </c>
      <c r="G110">
        <v>4500</v>
      </c>
      <c r="H110">
        <v>0</v>
      </c>
      <c r="I110">
        <v>140</v>
      </c>
      <c r="J110">
        <v>360</v>
      </c>
      <c r="K110">
        <v>1</v>
      </c>
      <c r="L110" t="s">
        <v>31</v>
      </c>
      <c r="M110">
        <f t="shared" si="5"/>
        <v>4500</v>
      </c>
      <c r="N110">
        <f t="shared" si="6"/>
        <v>4156</v>
      </c>
      <c r="O110">
        <f t="shared" si="7"/>
        <v>5205</v>
      </c>
      <c r="P110">
        <f t="shared" si="8"/>
        <v>6980</v>
      </c>
      <c r="Q110" s="1" t="str">
        <f t="shared" si="9"/>
        <v>Medium</v>
      </c>
    </row>
    <row r="111" spans="1:17">
      <c r="A111" t="s">
        <v>136</v>
      </c>
      <c r="B111" t="s">
        <v>18</v>
      </c>
      <c r="C111" t="s">
        <v>19</v>
      </c>
      <c r="D111">
        <v>0</v>
      </c>
      <c r="E111" t="s">
        <v>27</v>
      </c>
      <c r="F111" t="s">
        <v>21</v>
      </c>
      <c r="G111">
        <v>4523</v>
      </c>
      <c r="H111">
        <v>1350</v>
      </c>
      <c r="I111">
        <v>165</v>
      </c>
      <c r="J111">
        <v>360</v>
      </c>
      <c r="K111">
        <v>1</v>
      </c>
      <c r="L111" t="s">
        <v>22</v>
      </c>
      <c r="M111">
        <f t="shared" si="5"/>
        <v>5873</v>
      </c>
      <c r="N111">
        <f t="shared" si="6"/>
        <v>4156</v>
      </c>
      <c r="O111">
        <f t="shared" si="7"/>
        <v>5205</v>
      </c>
      <c r="P111">
        <f t="shared" si="8"/>
        <v>6980</v>
      </c>
      <c r="Q111" s="1" t="str">
        <f t="shared" si="9"/>
        <v>High</v>
      </c>
    </row>
    <row r="112" spans="1:17">
      <c r="A112" t="s">
        <v>137</v>
      </c>
      <c r="B112" t="s">
        <v>30</v>
      </c>
      <c r="C112" t="s">
        <v>21</v>
      </c>
      <c r="D112">
        <v>0</v>
      </c>
      <c r="E112" t="s">
        <v>20</v>
      </c>
      <c r="F112" t="s">
        <v>19</v>
      </c>
      <c r="G112">
        <v>4742</v>
      </c>
      <c r="H112">
        <v>0</v>
      </c>
      <c r="I112">
        <v>108</v>
      </c>
      <c r="J112">
        <v>360</v>
      </c>
      <c r="K112">
        <v>1</v>
      </c>
      <c r="L112" t="s">
        <v>31</v>
      </c>
      <c r="M112">
        <f t="shared" si="5"/>
        <v>4742</v>
      </c>
      <c r="N112">
        <f t="shared" si="6"/>
        <v>4156</v>
      </c>
      <c r="O112">
        <f t="shared" si="7"/>
        <v>5205</v>
      </c>
      <c r="P112">
        <f t="shared" si="8"/>
        <v>6980</v>
      </c>
      <c r="Q112" s="1" t="str">
        <f t="shared" si="9"/>
        <v>Medium</v>
      </c>
    </row>
    <row r="113" spans="1:17">
      <c r="A113" t="s">
        <v>138</v>
      </c>
      <c r="B113" t="s">
        <v>18</v>
      </c>
      <c r="C113" t="s">
        <v>19</v>
      </c>
      <c r="E113" t="s">
        <v>20</v>
      </c>
      <c r="F113" t="s">
        <v>21</v>
      </c>
      <c r="G113">
        <v>4082</v>
      </c>
      <c r="H113">
        <v>0</v>
      </c>
      <c r="I113">
        <v>93</v>
      </c>
      <c r="J113">
        <v>360</v>
      </c>
      <c r="K113">
        <v>1</v>
      </c>
      <c r="L113" t="s">
        <v>31</v>
      </c>
      <c r="M113">
        <f t="shared" si="5"/>
        <v>4082</v>
      </c>
      <c r="N113">
        <f t="shared" si="6"/>
        <v>4156</v>
      </c>
      <c r="O113">
        <f t="shared" si="7"/>
        <v>5205</v>
      </c>
      <c r="P113">
        <f t="shared" si="8"/>
        <v>6980</v>
      </c>
      <c r="Q113" s="1" t="str">
        <f t="shared" si="9"/>
        <v>Low</v>
      </c>
    </row>
    <row r="114" spans="1:17">
      <c r="A114" t="s">
        <v>139</v>
      </c>
      <c r="B114" t="s">
        <v>30</v>
      </c>
      <c r="C114" t="s">
        <v>21</v>
      </c>
      <c r="D114">
        <v>0</v>
      </c>
      <c r="E114" t="s">
        <v>20</v>
      </c>
      <c r="F114" t="s">
        <v>21</v>
      </c>
      <c r="G114">
        <v>3417</v>
      </c>
      <c r="H114">
        <v>0</v>
      </c>
      <c r="I114">
        <v>102</v>
      </c>
      <c r="J114">
        <v>360</v>
      </c>
      <c r="K114">
        <v>1</v>
      </c>
      <c r="L114" t="s">
        <v>22</v>
      </c>
      <c r="M114">
        <f t="shared" si="5"/>
        <v>3417</v>
      </c>
      <c r="N114">
        <f t="shared" si="6"/>
        <v>4156</v>
      </c>
      <c r="O114">
        <f t="shared" si="7"/>
        <v>5205</v>
      </c>
      <c r="P114">
        <f t="shared" si="8"/>
        <v>6980</v>
      </c>
      <c r="Q114" s="1" t="str">
        <f t="shared" si="9"/>
        <v>Low</v>
      </c>
    </row>
    <row r="115" spans="1:17">
      <c r="A115" t="s">
        <v>140</v>
      </c>
      <c r="B115" t="s">
        <v>30</v>
      </c>
      <c r="C115" t="s">
        <v>19</v>
      </c>
      <c r="D115">
        <v>2</v>
      </c>
      <c r="E115" t="s">
        <v>20</v>
      </c>
      <c r="F115" t="s">
        <v>21</v>
      </c>
      <c r="G115">
        <v>2922</v>
      </c>
      <c r="H115">
        <v>3396</v>
      </c>
      <c r="I115">
        <v>122</v>
      </c>
      <c r="J115">
        <v>360</v>
      </c>
      <c r="K115">
        <v>1</v>
      </c>
      <c r="L115" t="s">
        <v>31</v>
      </c>
      <c r="M115">
        <f t="shared" si="5"/>
        <v>6318</v>
      </c>
      <c r="N115">
        <f t="shared" si="6"/>
        <v>4156</v>
      </c>
      <c r="O115">
        <f t="shared" si="7"/>
        <v>5205</v>
      </c>
      <c r="P115">
        <f t="shared" si="8"/>
        <v>6980</v>
      </c>
      <c r="Q115" s="1" t="str">
        <f t="shared" si="9"/>
        <v>High</v>
      </c>
    </row>
    <row r="116" spans="1:17">
      <c r="A116" t="s">
        <v>141</v>
      </c>
      <c r="B116" t="s">
        <v>18</v>
      </c>
      <c r="C116" t="s">
        <v>19</v>
      </c>
      <c r="D116">
        <v>0</v>
      </c>
      <c r="E116" t="s">
        <v>20</v>
      </c>
      <c r="F116" t="s">
        <v>21</v>
      </c>
      <c r="G116">
        <v>4167</v>
      </c>
      <c r="H116">
        <v>4754</v>
      </c>
      <c r="I116">
        <v>160</v>
      </c>
      <c r="J116">
        <v>360</v>
      </c>
      <c r="K116">
        <v>1</v>
      </c>
      <c r="L116" t="s">
        <v>33</v>
      </c>
      <c r="M116">
        <f t="shared" si="5"/>
        <v>8921</v>
      </c>
      <c r="N116">
        <f t="shared" si="6"/>
        <v>4156</v>
      </c>
      <c r="O116">
        <f t="shared" si="7"/>
        <v>5205</v>
      </c>
      <c r="P116">
        <f t="shared" si="8"/>
        <v>6980</v>
      </c>
      <c r="Q116" s="1" t="str">
        <f t="shared" si="9"/>
        <v>Very High</v>
      </c>
    </row>
    <row r="117" spans="1:17">
      <c r="A117" t="s">
        <v>142</v>
      </c>
      <c r="B117" t="s">
        <v>18</v>
      </c>
      <c r="C117" t="s">
        <v>21</v>
      </c>
      <c r="D117">
        <v>3</v>
      </c>
      <c r="E117" t="s">
        <v>20</v>
      </c>
      <c r="F117" t="s">
        <v>21</v>
      </c>
      <c r="G117">
        <v>4243</v>
      </c>
      <c r="H117">
        <v>4123</v>
      </c>
      <c r="I117">
        <v>157</v>
      </c>
      <c r="J117">
        <v>360</v>
      </c>
      <c r="L117" t="s">
        <v>31</v>
      </c>
      <c r="M117">
        <f t="shared" si="5"/>
        <v>8366</v>
      </c>
      <c r="N117">
        <f t="shared" si="6"/>
        <v>4156</v>
      </c>
      <c r="O117">
        <f t="shared" si="7"/>
        <v>5205</v>
      </c>
      <c r="P117">
        <f t="shared" si="8"/>
        <v>6980</v>
      </c>
      <c r="Q117" s="1" t="str">
        <f t="shared" si="9"/>
        <v>Very High</v>
      </c>
    </row>
    <row r="118" spans="1:17">
      <c r="A118" t="s">
        <v>143</v>
      </c>
      <c r="B118" t="s">
        <v>30</v>
      </c>
      <c r="C118" t="s">
        <v>21</v>
      </c>
      <c r="D118">
        <v>0</v>
      </c>
      <c r="E118" t="s">
        <v>27</v>
      </c>
      <c r="F118" t="s">
        <v>21</v>
      </c>
      <c r="G118">
        <v>0</v>
      </c>
      <c r="H118">
        <v>1760</v>
      </c>
      <c r="I118">
        <v>180</v>
      </c>
      <c r="J118">
        <v>360</v>
      </c>
      <c r="K118">
        <v>1</v>
      </c>
      <c r="L118" t="s">
        <v>31</v>
      </c>
      <c r="M118">
        <f t="shared" si="5"/>
        <v>1760</v>
      </c>
      <c r="N118">
        <f t="shared" si="6"/>
        <v>4156</v>
      </c>
      <c r="O118">
        <f t="shared" si="7"/>
        <v>5205</v>
      </c>
      <c r="P118">
        <f t="shared" si="8"/>
        <v>6980</v>
      </c>
      <c r="Q118" s="1" t="str">
        <f t="shared" si="9"/>
        <v>Low</v>
      </c>
    </row>
    <row r="119" spans="1:17">
      <c r="A119" t="s">
        <v>144</v>
      </c>
      <c r="B119" t="s">
        <v>18</v>
      </c>
      <c r="C119" t="s">
        <v>19</v>
      </c>
      <c r="D119">
        <v>1</v>
      </c>
      <c r="E119" t="s">
        <v>20</v>
      </c>
      <c r="F119" t="s">
        <v>21</v>
      </c>
      <c r="G119">
        <v>1516</v>
      </c>
      <c r="H119">
        <v>2900</v>
      </c>
      <c r="I119">
        <v>80</v>
      </c>
      <c r="K119">
        <v>0</v>
      </c>
      <c r="L119" t="s">
        <v>33</v>
      </c>
      <c r="M119">
        <f t="shared" si="5"/>
        <v>4416</v>
      </c>
      <c r="N119">
        <f t="shared" si="6"/>
        <v>4156</v>
      </c>
      <c r="O119">
        <f t="shared" si="7"/>
        <v>5205</v>
      </c>
      <c r="P119">
        <f t="shared" si="8"/>
        <v>6980</v>
      </c>
      <c r="Q119" s="1" t="str">
        <f t="shared" si="9"/>
        <v>Medium</v>
      </c>
    </row>
    <row r="120" spans="1:17">
      <c r="A120" t="s">
        <v>145</v>
      </c>
      <c r="B120" t="s">
        <v>30</v>
      </c>
      <c r="C120" t="s">
        <v>21</v>
      </c>
      <c r="D120">
        <v>0</v>
      </c>
      <c r="E120" t="s">
        <v>20</v>
      </c>
      <c r="F120" t="s">
        <v>21</v>
      </c>
      <c r="G120">
        <v>1762</v>
      </c>
      <c r="H120">
        <v>2666</v>
      </c>
      <c r="I120">
        <v>104</v>
      </c>
      <c r="J120">
        <v>360</v>
      </c>
      <c r="K120">
        <v>0</v>
      </c>
      <c r="L120" t="s">
        <v>22</v>
      </c>
      <c r="M120">
        <f t="shared" si="5"/>
        <v>4428</v>
      </c>
      <c r="N120">
        <f t="shared" si="6"/>
        <v>4156</v>
      </c>
      <c r="O120">
        <f t="shared" si="7"/>
        <v>5205</v>
      </c>
      <c r="P120">
        <f t="shared" si="8"/>
        <v>6980</v>
      </c>
      <c r="Q120" s="1" t="str">
        <f t="shared" si="9"/>
        <v>Medium</v>
      </c>
    </row>
    <row r="121" spans="1:17">
      <c r="A121" t="s">
        <v>146</v>
      </c>
      <c r="B121" t="s">
        <v>18</v>
      </c>
      <c r="C121" t="s">
        <v>19</v>
      </c>
      <c r="D121">
        <v>2</v>
      </c>
      <c r="E121" t="s">
        <v>20</v>
      </c>
      <c r="F121" t="s">
        <v>21</v>
      </c>
      <c r="G121">
        <v>724</v>
      </c>
      <c r="H121">
        <v>3510</v>
      </c>
      <c r="I121">
        <v>213</v>
      </c>
      <c r="J121">
        <v>360</v>
      </c>
      <c r="K121">
        <v>0</v>
      </c>
      <c r="L121" t="s">
        <v>33</v>
      </c>
      <c r="M121">
        <f t="shared" si="5"/>
        <v>4234</v>
      </c>
      <c r="N121">
        <f t="shared" si="6"/>
        <v>4156</v>
      </c>
      <c r="O121">
        <f t="shared" si="7"/>
        <v>5205</v>
      </c>
      <c r="P121">
        <f t="shared" si="8"/>
        <v>6980</v>
      </c>
      <c r="Q121" s="1" t="str">
        <f t="shared" si="9"/>
        <v>Medium</v>
      </c>
    </row>
    <row r="122" spans="1:17">
      <c r="A122" t="s">
        <v>147</v>
      </c>
      <c r="B122" t="s">
        <v>18</v>
      </c>
      <c r="C122" t="s">
        <v>21</v>
      </c>
      <c r="D122">
        <v>0</v>
      </c>
      <c r="E122" t="s">
        <v>20</v>
      </c>
      <c r="F122" t="s">
        <v>21</v>
      </c>
      <c r="G122">
        <v>3125</v>
      </c>
      <c r="H122">
        <v>0</v>
      </c>
      <c r="I122">
        <v>65</v>
      </c>
      <c r="J122">
        <v>360</v>
      </c>
      <c r="K122">
        <v>1</v>
      </c>
      <c r="L122" t="s">
        <v>22</v>
      </c>
      <c r="M122">
        <f t="shared" si="5"/>
        <v>3125</v>
      </c>
      <c r="N122">
        <f t="shared" si="6"/>
        <v>4156</v>
      </c>
      <c r="O122">
        <f t="shared" si="7"/>
        <v>5205</v>
      </c>
      <c r="P122">
        <f t="shared" si="8"/>
        <v>6980</v>
      </c>
      <c r="Q122" s="1" t="str">
        <f t="shared" si="9"/>
        <v>Low</v>
      </c>
    </row>
    <row r="123" spans="1:17">
      <c r="A123" t="s">
        <v>148</v>
      </c>
      <c r="B123" t="s">
        <v>18</v>
      </c>
      <c r="C123" t="s">
        <v>19</v>
      </c>
      <c r="D123">
        <v>0</v>
      </c>
      <c r="E123" t="s">
        <v>20</v>
      </c>
      <c r="F123" t="s">
        <v>21</v>
      </c>
      <c r="G123">
        <v>2333</v>
      </c>
      <c r="H123">
        <v>3803</v>
      </c>
      <c r="I123">
        <v>146</v>
      </c>
      <c r="J123">
        <v>360</v>
      </c>
      <c r="K123">
        <v>1</v>
      </c>
      <c r="L123" t="s">
        <v>33</v>
      </c>
      <c r="M123">
        <f t="shared" si="5"/>
        <v>6136</v>
      </c>
      <c r="N123">
        <f t="shared" si="6"/>
        <v>4156</v>
      </c>
      <c r="O123">
        <f t="shared" si="7"/>
        <v>5205</v>
      </c>
      <c r="P123">
        <f t="shared" si="8"/>
        <v>6980</v>
      </c>
      <c r="Q123" s="1" t="str">
        <f t="shared" si="9"/>
        <v>High</v>
      </c>
    </row>
    <row r="124" spans="1:17">
      <c r="A124" t="s">
        <v>149</v>
      </c>
      <c r="B124" t="s">
        <v>18</v>
      </c>
      <c r="C124" t="s">
        <v>19</v>
      </c>
      <c r="D124">
        <v>3</v>
      </c>
      <c r="E124" t="s">
        <v>20</v>
      </c>
      <c r="F124" t="s">
        <v>21</v>
      </c>
      <c r="G124">
        <v>3350</v>
      </c>
      <c r="H124">
        <v>1560</v>
      </c>
      <c r="I124">
        <v>135</v>
      </c>
      <c r="J124">
        <v>360</v>
      </c>
      <c r="K124">
        <v>1</v>
      </c>
      <c r="L124" t="s">
        <v>22</v>
      </c>
      <c r="M124">
        <f t="shared" si="5"/>
        <v>4910</v>
      </c>
      <c r="N124">
        <f t="shared" si="6"/>
        <v>4156</v>
      </c>
      <c r="O124">
        <f t="shared" si="7"/>
        <v>5205</v>
      </c>
      <c r="P124">
        <f t="shared" si="8"/>
        <v>6980</v>
      </c>
      <c r="Q124" s="1" t="str">
        <f t="shared" si="9"/>
        <v>Medium</v>
      </c>
    </row>
    <row r="125" spans="1:17">
      <c r="A125" t="s">
        <v>150</v>
      </c>
      <c r="B125" t="s">
        <v>18</v>
      </c>
      <c r="C125" t="s">
        <v>21</v>
      </c>
      <c r="D125">
        <v>0</v>
      </c>
      <c r="E125" t="s">
        <v>20</v>
      </c>
      <c r="F125" t="s">
        <v>21</v>
      </c>
      <c r="G125">
        <v>2500</v>
      </c>
      <c r="H125">
        <v>6414</v>
      </c>
      <c r="I125">
        <v>187</v>
      </c>
      <c r="J125">
        <v>360</v>
      </c>
      <c r="K125">
        <v>0</v>
      </c>
      <c r="L125" t="s">
        <v>33</v>
      </c>
      <c r="M125">
        <f t="shared" si="5"/>
        <v>8914</v>
      </c>
      <c r="N125">
        <f t="shared" si="6"/>
        <v>4156</v>
      </c>
      <c r="O125">
        <f t="shared" si="7"/>
        <v>5205</v>
      </c>
      <c r="P125">
        <f t="shared" si="8"/>
        <v>6980</v>
      </c>
      <c r="Q125" s="1" t="str">
        <f t="shared" si="9"/>
        <v>Very High</v>
      </c>
    </row>
    <row r="126" spans="1:17">
      <c r="A126" t="s">
        <v>151</v>
      </c>
      <c r="B126" t="s">
        <v>30</v>
      </c>
      <c r="C126" t="s">
        <v>21</v>
      </c>
      <c r="D126">
        <v>0</v>
      </c>
      <c r="E126" t="s">
        <v>20</v>
      </c>
      <c r="F126" t="s">
        <v>21</v>
      </c>
      <c r="G126">
        <v>12500</v>
      </c>
      <c r="H126">
        <v>0</v>
      </c>
      <c r="I126">
        <v>300</v>
      </c>
      <c r="J126">
        <v>360</v>
      </c>
      <c r="K126">
        <v>0</v>
      </c>
      <c r="L126" t="s">
        <v>22</v>
      </c>
      <c r="M126">
        <f t="shared" si="5"/>
        <v>12500</v>
      </c>
      <c r="N126">
        <f t="shared" si="6"/>
        <v>4156</v>
      </c>
      <c r="O126">
        <f t="shared" si="7"/>
        <v>5205</v>
      </c>
      <c r="P126">
        <f t="shared" si="8"/>
        <v>6980</v>
      </c>
      <c r="Q126" s="1" t="str">
        <f t="shared" si="9"/>
        <v>Very High</v>
      </c>
    </row>
    <row r="127" spans="1:17">
      <c r="A127" t="s">
        <v>152</v>
      </c>
      <c r="B127" t="s">
        <v>18</v>
      </c>
      <c r="C127" t="s">
        <v>21</v>
      </c>
      <c r="D127">
        <v>0</v>
      </c>
      <c r="E127" t="s">
        <v>20</v>
      </c>
      <c r="F127" t="s">
        <v>21</v>
      </c>
      <c r="G127">
        <v>4667</v>
      </c>
      <c r="H127">
        <v>0</v>
      </c>
      <c r="I127">
        <v>120</v>
      </c>
      <c r="J127">
        <v>360</v>
      </c>
      <c r="K127">
        <v>1</v>
      </c>
      <c r="L127" t="s">
        <v>31</v>
      </c>
      <c r="M127">
        <f t="shared" si="5"/>
        <v>4667</v>
      </c>
      <c r="N127">
        <f t="shared" si="6"/>
        <v>4156</v>
      </c>
      <c r="O127">
        <f t="shared" si="7"/>
        <v>5205</v>
      </c>
      <c r="P127">
        <f t="shared" si="8"/>
        <v>6980</v>
      </c>
      <c r="Q127" s="1" t="str">
        <f t="shared" si="9"/>
        <v>Medium</v>
      </c>
    </row>
    <row r="128" spans="1:17">
      <c r="A128" t="s">
        <v>153</v>
      </c>
      <c r="B128" t="s">
        <v>18</v>
      </c>
      <c r="C128" t="s">
        <v>21</v>
      </c>
      <c r="D128">
        <v>0</v>
      </c>
      <c r="E128" t="s">
        <v>20</v>
      </c>
      <c r="F128" t="s">
        <v>21</v>
      </c>
      <c r="G128">
        <v>6500</v>
      </c>
      <c r="H128">
        <v>0</v>
      </c>
      <c r="I128">
        <v>71</v>
      </c>
      <c r="J128">
        <v>360</v>
      </c>
      <c r="K128">
        <v>0</v>
      </c>
      <c r="L128" t="s">
        <v>22</v>
      </c>
      <c r="M128">
        <f t="shared" si="5"/>
        <v>6500</v>
      </c>
      <c r="N128">
        <f t="shared" si="6"/>
        <v>4156</v>
      </c>
      <c r="O128">
        <f t="shared" si="7"/>
        <v>5205</v>
      </c>
      <c r="P128">
        <f t="shared" si="8"/>
        <v>6980</v>
      </c>
      <c r="Q128" s="1" t="str">
        <f t="shared" si="9"/>
        <v>High</v>
      </c>
    </row>
    <row r="129" spans="1:17">
      <c r="A129" t="s">
        <v>154</v>
      </c>
      <c r="B129" t="s">
        <v>18</v>
      </c>
      <c r="C129" t="s">
        <v>19</v>
      </c>
      <c r="D129">
        <v>2</v>
      </c>
      <c r="E129" t="s">
        <v>20</v>
      </c>
      <c r="F129" t="s">
        <v>21</v>
      </c>
      <c r="G129">
        <v>7500</v>
      </c>
      <c r="H129">
        <v>0</v>
      </c>
      <c r="I129">
        <v>225</v>
      </c>
      <c r="J129">
        <v>360</v>
      </c>
      <c r="K129">
        <v>1</v>
      </c>
      <c r="L129" t="s">
        <v>22</v>
      </c>
      <c r="M129">
        <f t="shared" si="5"/>
        <v>7500</v>
      </c>
      <c r="N129">
        <f t="shared" si="6"/>
        <v>4156</v>
      </c>
      <c r="O129">
        <f t="shared" si="7"/>
        <v>5205</v>
      </c>
      <c r="P129">
        <f t="shared" si="8"/>
        <v>6980</v>
      </c>
      <c r="Q129" s="1" t="str">
        <f t="shared" si="9"/>
        <v>Very High</v>
      </c>
    </row>
    <row r="130" spans="1:17">
      <c r="A130" t="s">
        <v>155</v>
      </c>
      <c r="B130" t="s">
        <v>18</v>
      </c>
      <c r="C130" t="s">
        <v>21</v>
      </c>
      <c r="D130">
        <v>0</v>
      </c>
      <c r="E130" t="s">
        <v>20</v>
      </c>
      <c r="F130" t="s">
        <v>21</v>
      </c>
      <c r="G130">
        <v>3073</v>
      </c>
      <c r="H130">
        <v>0</v>
      </c>
      <c r="I130">
        <v>70</v>
      </c>
      <c r="J130">
        <v>180</v>
      </c>
      <c r="K130">
        <v>1</v>
      </c>
      <c r="L130" t="s">
        <v>22</v>
      </c>
      <c r="M130">
        <f t="shared" ref="M130:M193" si="10">G130 + H130</f>
        <v>3073</v>
      </c>
      <c r="N130">
        <f t="shared" ref="N130:N193" si="11">PERCENTILE(M:M,0.25)</f>
        <v>4156</v>
      </c>
      <c r="O130">
        <f t="shared" ref="O130:O193" si="12">PERCENTILE(M:M,0.5)</f>
        <v>5205</v>
      </c>
      <c r="P130">
        <f t="shared" ref="P130:P193" si="13">PERCENTILE(M:M,0.75)</f>
        <v>6980</v>
      </c>
      <c r="Q130" s="1" t="str">
        <f t="shared" ref="Q130:Q193" si="14">IF(M130&lt;$N$2,"Low",IF(M130&lt;$O$2,"Medium",IF(M130&lt;$P$2,"High","Very High")))</f>
        <v>Low</v>
      </c>
    </row>
    <row r="131" spans="1:17">
      <c r="A131" t="s">
        <v>156</v>
      </c>
      <c r="B131" t="s">
        <v>18</v>
      </c>
      <c r="C131" t="s">
        <v>19</v>
      </c>
      <c r="D131">
        <v>1</v>
      </c>
      <c r="E131" t="s">
        <v>27</v>
      </c>
      <c r="F131" t="s">
        <v>21</v>
      </c>
      <c r="G131">
        <v>3321</v>
      </c>
      <c r="H131">
        <v>2088</v>
      </c>
      <c r="I131">
        <v>70</v>
      </c>
      <c r="K131">
        <v>1</v>
      </c>
      <c r="L131" t="s">
        <v>31</v>
      </c>
      <c r="M131">
        <f t="shared" si="10"/>
        <v>5409</v>
      </c>
      <c r="N131">
        <f t="shared" si="11"/>
        <v>4156</v>
      </c>
      <c r="O131">
        <f t="shared" si="12"/>
        <v>5205</v>
      </c>
      <c r="P131">
        <f t="shared" si="13"/>
        <v>6980</v>
      </c>
      <c r="Q131" s="1" t="str">
        <f t="shared" si="14"/>
        <v>High</v>
      </c>
    </row>
    <row r="132" spans="1:17">
      <c r="A132" t="s">
        <v>157</v>
      </c>
      <c r="B132" t="s">
        <v>18</v>
      </c>
      <c r="C132" t="s">
        <v>19</v>
      </c>
      <c r="D132">
        <v>0</v>
      </c>
      <c r="E132" t="s">
        <v>20</v>
      </c>
      <c r="F132" t="s">
        <v>21</v>
      </c>
      <c r="G132">
        <v>3333</v>
      </c>
      <c r="H132">
        <v>1270</v>
      </c>
      <c r="I132">
        <v>124</v>
      </c>
      <c r="J132">
        <v>360</v>
      </c>
      <c r="K132">
        <v>1</v>
      </c>
      <c r="L132" t="s">
        <v>22</v>
      </c>
      <c r="M132">
        <f t="shared" si="10"/>
        <v>4603</v>
      </c>
      <c r="N132">
        <f t="shared" si="11"/>
        <v>4156</v>
      </c>
      <c r="O132">
        <f t="shared" si="12"/>
        <v>5205</v>
      </c>
      <c r="P132">
        <f t="shared" si="13"/>
        <v>6980</v>
      </c>
      <c r="Q132" s="1" t="str">
        <f t="shared" si="14"/>
        <v>Medium</v>
      </c>
    </row>
    <row r="133" spans="1:17">
      <c r="A133" t="s">
        <v>158</v>
      </c>
      <c r="B133" t="s">
        <v>18</v>
      </c>
      <c r="C133" t="s">
        <v>21</v>
      </c>
      <c r="D133">
        <v>0</v>
      </c>
      <c r="E133" t="s">
        <v>20</v>
      </c>
      <c r="F133" t="s">
        <v>21</v>
      </c>
      <c r="G133">
        <v>3391</v>
      </c>
      <c r="H133">
        <v>0</v>
      </c>
      <c r="I133">
        <v>132</v>
      </c>
      <c r="J133">
        <v>360</v>
      </c>
      <c r="K133">
        <v>1</v>
      </c>
      <c r="L133" t="s">
        <v>33</v>
      </c>
      <c r="M133">
        <f t="shared" si="10"/>
        <v>3391</v>
      </c>
      <c r="N133">
        <f t="shared" si="11"/>
        <v>4156</v>
      </c>
      <c r="O133">
        <f t="shared" si="12"/>
        <v>5205</v>
      </c>
      <c r="P133">
        <f t="shared" si="13"/>
        <v>6980</v>
      </c>
      <c r="Q133" s="1" t="str">
        <f t="shared" si="14"/>
        <v>Low</v>
      </c>
    </row>
    <row r="134" spans="1:17">
      <c r="A134" t="s">
        <v>159</v>
      </c>
      <c r="B134" t="s">
        <v>18</v>
      </c>
      <c r="C134" t="s">
        <v>19</v>
      </c>
      <c r="D134">
        <v>1</v>
      </c>
      <c r="E134" t="s">
        <v>20</v>
      </c>
      <c r="F134" t="s">
        <v>19</v>
      </c>
      <c r="G134">
        <v>3343</v>
      </c>
      <c r="H134">
        <v>1517</v>
      </c>
      <c r="I134">
        <v>105</v>
      </c>
      <c r="J134">
        <v>360</v>
      </c>
      <c r="K134">
        <v>1</v>
      </c>
      <c r="L134" t="s">
        <v>33</v>
      </c>
      <c r="M134">
        <f t="shared" si="10"/>
        <v>4860</v>
      </c>
      <c r="N134">
        <f t="shared" si="11"/>
        <v>4156</v>
      </c>
      <c r="O134">
        <f t="shared" si="12"/>
        <v>5205</v>
      </c>
      <c r="P134">
        <f t="shared" si="13"/>
        <v>6980</v>
      </c>
      <c r="Q134" s="1" t="str">
        <f t="shared" si="14"/>
        <v>Medium</v>
      </c>
    </row>
    <row r="135" spans="1:17">
      <c r="A135" t="s">
        <v>160</v>
      </c>
      <c r="B135" t="s">
        <v>30</v>
      </c>
      <c r="C135" t="s">
        <v>21</v>
      </c>
      <c r="D135">
        <v>1</v>
      </c>
      <c r="E135" t="s">
        <v>20</v>
      </c>
      <c r="F135" t="s">
        <v>21</v>
      </c>
      <c r="G135">
        <v>3620</v>
      </c>
      <c r="H135">
        <v>0</v>
      </c>
      <c r="I135">
        <v>90</v>
      </c>
      <c r="J135">
        <v>360</v>
      </c>
      <c r="K135">
        <v>1</v>
      </c>
      <c r="L135" t="s">
        <v>22</v>
      </c>
      <c r="M135">
        <f t="shared" si="10"/>
        <v>3620</v>
      </c>
      <c r="N135">
        <f t="shared" si="11"/>
        <v>4156</v>
      </c>
      <c r="O135">
        <f t="shared" si="12"/>
        <v>5205</v>
      </c>
      <c r="P135">
        <f t="shared" si="13"/>
        <v>6980</v>
      </c>
      <c r="Q135" s="1" t="str">
        <f t="shared" si="14"/>
        <v>Low</v>
      </c>
    </row>
    <row r="136" spans="1:17">
      <c r="A136" t="s">
        <v>161</v>
      </c>
      <c r="B136" t="s">
        <v>18</v>
      </c>
      <c r="C136" t="s">
        <v>21</v>
      </c>
      <c r="D136">
        <v>0</v>
      </c>
      <c r="E136" t="s">
        <v>20</v>
      </c>
      <c r="F136" t="s">
        <v>21</v>
      </c>
      <c r="G136">
        <v>4000</v>
      </c>
      <c r="H136">
        <v>0</v>
      </c>
      <c r="I136">
        <v>83</v>
      </c>
      <c r="J136">
        <v>84</v>
      </c>
      <c r="K136">
        <v>1</v>
      </c>
      <c r="L136" t="s">
        <v>22</v>
      </c>
      <c r="M136">
        <f t="shared" si="10"/>
        <v>4000</v>
      </c>
      <c r="N136">
        <f t="shared" si="11"/>
        <v>4156</v>
      </c>
      <c r="O136">
        <f t="shared" si="12"/>
        <v>5205</v>
      </c>
      <c r="P136">
        <f t="shared" si="13"/>
        <v>6980</v>
      </c>
      <c r="Q136" s="1" t="str">
        <f t="shared" si="14"/>
        <v>Low</v>
      </c>
    </row>
    <row r="137" spans="1:17">
      <c r="A137" t="s">
        <v>162</v>
      </c>
      <c r="B137" t="s">
        <v>18</v>
      </c>
      <c r="C137" t="s">
        <v>19</v>
      </c>
      <c r="D137">
        <v>0</v>
      </c>
      <c r="E137" t="s">
        <v>20</v>
      </c>
      <c r="F137" t="s">
        <v>21</v>
      </c>
      <c r="G137">
        <v>4258</v>
      </c>
      <c r="H137">
        <v>0</v>
      </c>
      <c r="I137">
        <v>125</v>
      </c>
      <c r="J137">
        <v>360</v>
      </c>
      <c r="K137">
        <v>1</v>
      </c>
      <c r="L137" t="s">
        <v>22</v>
      </c>
      <c r="M137">
        <f t="shared" si="10"/>
        <v>4258</v>
      </c>
      <c r="N137">
        <f t="shared" si="11"/>
        <v>4156</v>
      </c>
      <c r="O137">
        <f t="shared" si="12"/>
        <v>5205</v>
      </c>
      <c r="P137">
        <f t="shared" si="13"/>
        <v>6980</v>
      </c>
      <c r="Q137" s="1" t="str">
        <f t="shared" si="14"/>
        <v>Medium</v>
      </c>
    </row>
    <row r="138" spans="1:17">
      <c r="A138" t="s">
        <v>163</v>
      </c>
      <c r="B138" t="s">
        <v>18</v>
      </c>
      <c r="C138" t="s">
        <v>19</v>
      </c>
      <c r="D138">
        <v>2</v>
      </c>
      <c r="E138" t="s">
        <v>20</v>
      </c>
      <c r="F138" t="s">
        <v>21</v>
      </c>
      <c r="G138">
        <v>4500</v>
      </c>
      <c r="H138">
        <v>0</v>
      </c>
      <c r="I138">
        <v>147</v>
      </c>
      <c r="J138">
        <v>360</v>
      </c>
      <c r="K138">
        <v>1</v>
      </c>
      <c r="L138" t="s">
        <v>33</v>
      </c>
      <c r="M138">
        <f t="shared" si="10"/>
        <v>4500</v>
      </c>
      <c r="N138">
        <f t="shared" si="11"/>
        <v>4156</v>
      </c>
      <c r="O138">
        <f t="shared" si="12"/>
        <v>5205</v>
      </c>
      <c r="P138">
        <f t="shared" si="13"/>
        <v>6980</v>
      </c>
      <c r="Q138" s="1" t="str">
        <f t="shared" si="14"/>
        <v>Medium</v>
      </c>
    </row>
    <row r="139" spans="1:17">
      <c r="A139" t="s">
        <v>164</v>
      </c>
      <c r="B139" t="s">
        <v>18</v>
      </c>
      <c r="C139" t="s">
        <v>19</v>
      </c>
      <c r="D139">
        <v>1</v>
      </c>
      <c r="E139" t="s">
        <v>20</v>
      </c>
      <c r="F139" t="s">
        <v>21</v>
      </c>
      <c r="G139">
        <v>2014</v>
      </c>
      <c r="H139">
        <v>2925</v>
      </c>
      <c r="I139">
        <v>120</v>
      </c>
      <c r="J139">
        <v>360</v>
      </c>
      <c r="K139">
        <v>1</v>
      </c>
      <c r="L139" t="s">
        <v>33</v>
      </c>
      <c r="M139">
        <f t="shared" si="10"/>
        <v>4939</v>
      </c>
      <c r="N139">
        <f t="shared" si="11"/>
        <v>4156</v>
      </c>
      <c r="O139">
        <f t="shared" si="12"/>
        <v>5205</v>
      </c>
      <c r="P139">
        <f t="shared" si="13"/>
        <v>6980</v>
      </c>
      <c r="Q139" s="1" t="str">
        <f t="shared" si="14"/>
        <v>Medium</v>
      </c>
    </row>
    <row r="140" spans="1:17">
      <c r="A140" t="s">
        <v>165</v>
      </c>
      <c r="B140" t="s">
        <v>35</v>
      </c>
      <c r="C140" t="s">
        <v>21</v>
      </c>
      <c r="E140" t="s">
        <v>20</v>
      </c>
      <c r="F140" t="s">
        <v>21</v>
      </c>
      <c r="G140">
        <v>3333</v>
      </c>
      <c r="H140">
        <v>1250</v>
      </c>
      <c r="I140">
        <v>110</v>
      </c>
      <c r="J140">
        <v>360</v>
      </c>
      <c r="K140">
        <v>1</v>
      </c>
      <c r="L140" t="s">
        <v>31</v>
      </c>
      <c r="M140">
        <f t="shared" si="10"/>
        <v>4583</v>
      </c>
      <c r="N140">
        <f t="shared" si="11"/>
        <v>4156</v>
      </c>
      <c r="O140">
        <f t="shared" si="12"/>
        <v>5205</v>
      </c>
      <c r="P140">
        <f t="shared" si="13"/>
        <v>6980</v>
      </c>
      <c r="Q140" s="1" t="str">
        <f t="shared" si="14"/>
        <v>Medium</v>
      </c>
    </row>
    <row r="141" spans="1:17">
      <c r="A141" t="s">
        <v>166</v>
      </c>
      <c r="B141" t="s">
        <v>30</v>
      </c>
      <c r="C141" t="s">
        <v>21</v>
      </c>
      <c r="D141">
        <v>3</v>
      </c>
      <c r="E141" t="s">
        <v>20</v>
      </c>
      <c r="F141" t="s">
        <v>21</v>
      </c>
      <c r="G141">
        <v>4083</v>
      </c>
      <c r="H141">
        <v>0</v>
      </c>
      <c r="I141">
        <v>103</v>
      </c>
      <c r="J141">
        <v>360</v>
      </c>
      <c r="L141" t="s">
        <v>31</v>
      </c>
      <c r="M141">
        <f t="shared" si="10"/>
        <v>4083</v>
      </c>
      <c r="N141">
        <f t="shared" si="11"/>
        <v>4156</v>
      </c>
      <c r="O141">
        <f t="shared" si="12"/>
        <v>5205</v>
      </c>
      <c r="P141">
        <f t="shared" si="13"/>
        <v>6980</v>
      </c>
      <c r="Q141" s="1" t="str">
        <f t="shared" si="14"/>
        <v>Low</v>
      </c>
    </row>
    <row r="142" spans="1:17">
      <c r="A142" t="s">
        <v>167</v>
      </c>
      <c r="B142" t="s">
        <v>18</v>
      </c>
      <c r="C142" t="s">
        <v>21</v>
      </c>
      <c r="D142">
        <v>0</v>
      </c>
      <c r="E142" t="s">
        <v>20</v>
      </c>
      <c r="F142" t="s">
        <v>21</v>
      </c>
      <c r="G142">
        <v>4727</v>
      </c>
      <c r="H142">
        <v>0</v>
      </c>
      <c r="I142">
        <v>150</v>
      </c>
      <c r="J142">
        <v>360</v>
      </c>
      <c r="K142">
        <v>0</v>
      </c>
      <c r="L142" t="s">
        <v>33</v>
      </c>
      <c r="M142">
        <f t="shared" si="10"/>
        <v>4727</v>
      </c>
      <c r="N142">
        <f t="shared" si="11"/>
        <v>4156</v>
      </c>
      <c r="O142">
        <f t="shared" si="12"/>
        <v>5205</v>
      </c>
      <c r="P142">
        <f t="shared" si="13"/>
        <v>6980</v>
      </c>
      <c r="Q142" s="1" t="str">
        <f t="shared" si="14"/>
        <v>Medium</v>
      </c>
    </row>
    <row r="143" spans="1:17">
      <c r="A143" t="s">
        <v>168</v>
      </c>
      <c r="B143" t="s">
        <v>18</v>
      </c>
      <c r="C143" t="s">
        <v>19</v>
      </c>
      <c r="D143">
        <v>3</v>
      </c>
      <c r="E143" t="s">
        <v>20</v>
      </c>
      <c r="F143" t="s">
        <v>21</v>
      </c>
      <c r="G143">
        <v>3089</v>
      </c>
      <c r="H143">
        <v>2999</v>
      </c>
      <c r="I143">
        <v>100</v>
      </c>
      <c r="J143">
        <v>240</v>
      </c>
      <c r="K143">
        <v>1</v>
      </c>
      <c r="L143" t="s">
        <v>33</v>
      </c>
      <c r="M143">
        <f t="shared" si="10"/>
        <v>6088</v>
      </c>
      <c r="N143">
        <f t="shared" si="11"/>
        <v>4156</v>
      </c>
      <c r="O143">
        <f t="shared" si="12"/>
        <v>5205</v>
      </c>
      <c r="P143">
        <f t="shared" si="13"/>
        <v>6980</v>
      </c>
      <c r="Q143" s="1" t="str">
        <f t="shared" si="14"/>
        <v>High</v>
      </c>
    </row>
    <row r="144" spans="1:17">
      <c r="A144" t="s">
        <v>169</v>
      </c>
      <c r="B144" t="s">
        <v>18</v>
      </c>
      <c r="C144" t="s">
        <v>19</v>
      </c>
      <c r="D144">
        <v>3</v>
      </c>
      <c r="E144" t="s">
        <v>27</v>
      </c>
      <c r="F144" t="s">
        <v>35</v>
      </c>
      <c r="G144">
        <v>6794</v>
      </c>
      <c r="H144">
        <v>528</v>
      </c>
      <c r="I144">
        <v>139</v>
      </c>
      <c r="J144">
        <v>360</v>
      </c>
      <c r="K144">
        <v>0</v>
      </c>
      <c r="L144" t="s">
        <v>22</v>
      </c>
      <c r="M144">
        <f t="shared" si="10"/>
        <v>7322</v>
      </c>
      <c r="N144">
        <f t="shared" si="11"/>
        <v>4156</v>
      </c>
      <c r="O144">
        <f t="shared" si="12"/>
        <v>5205</v>
      </c>
      <c r="P144">
        <f t="shared" si="13"/>
        <v>6980</v>
      </c>
      <c r="Q144" s="1" t="str">
        <f t="shared" si="14"/>
        <v>Very High</v>
      </c>
    </row>
    <row r="145" spans="1:17">
      <c r="A145" t="s">
        <v>170</v>
      </c>
      <c r="B145" t="s">
        <v>18</v>
      </c>
      <c r="C145" t="s">
        <v>19</v>
      </c>
      <c r="D145">
        <v>0</v>
      </c>
      <c r="E145" t="s">
        <v>20</v>
      </c>
      <c r="F145" t="s">
        <v>19</v>
      </c>
      <c r="G145">
        <v>32000</v>
      </c>
      <c r="H145">
        <v>0</v>
      </c>
      <c r="I145">
        <v>550</v>
      </c>
      <c r="J145">
        <v>360</v>
      </c>
      <c r="L145" t="s">
        <v>31</v>
      </c>
      <c r="M145">
        <f t="shared" si="10"/>
        <v>32000</v>
      </c>
      <c r="N145">
        <f t="shared" si="11"/>
        <v>4156</v>
      </c>
      <c r="O145">
        <f t="shared" si="12"/>
        <v>5205</v>
      </c>
      <c r="P145">
        <f t="shared" si="13"/>
        <v>6980</v>
      </c>
      <c r="Q145" s="1" t="str">
        <f t="shared" si="14"/>
        <v>Very High</v>
      </c>
    </row>
    <row r="146" spans="1:17">
      <c r="A146" t="s">
        <v>171</v>
      </c>
      <c r="B146" t="s">
        <v>18</v>
      </c>
      <c r="C146" t="s">
        <v>19</v>
      </c>
      <c r="D146">
        <v>2</v>
      </c>
      <c r="E146" t="s">
        <v>20</v>
      </c>
      <c r="F146" t="s">
        <v>19</v>
      </c>
      <c r="G146">
        <v>10890</v>
      </c>
      <c r="H146">
        <v>0</v>
      </c>
      <c r="I146">
        <v>260</v>
      </c>
      <c r="J146">
        <v>12</v>
      </c>
      <c r="K146">
        <v>1</v>
      </c>
      <c r="L146" t="s">
        <v>33</v>
      </c>
      <c r="M146">
        <f t="shared" si="10"/>
        <v>10890</v>
      </c>
      <c r="N146">
        <f t="shared" si="11"/>
        <v>4156</v>
      </c>
      <c r="O146">
        <f t="shared" si="12"/>
        <v>5205</v>
      </c>
      <c r="P146">
        <f t="shared" si="13"/>
        <v>6980</v>
      </c>
      <c r="Q146" s="1" t="str">
        <f t="shared" si="14"/>
        <v>Very High</v>
      </c>
    </row>
    <row r="147" spans="1:17">
      <c r="A147" t="s">
        <v>172</v>
      </c>
      <c r="B147" t="s">
        <v>30</v>
      </c>
      <c r="C147" t="s">
        <v>21</v>
      </c>
      <c r="D147">
        <v>0</v>
      </c>
      <c r="E147" t="s">
        <v>20</v>
      </c>
      <c r="F147" t="s">
        <v>21</v>
      </c>
      <c r="G147">
        <v>12941</v>
      </c>
      <c r="H147">
        <v>0</v>
      </c>
      <c r="I147">
        <v>150</v>
      </c>
      <c r="J147">
        <v>300</v>
      </c>
      <c r="K147">
        <v>1</v>
      </c>
      <c r="L147" t="s">
        <v>22</v>
      </c>
      <c r="M147">
        <f t="shared" si="10"/>
        <v>12941</v>
      </c>
      <c r="N147">
        <f t="shared" si="11"/>
        <v>4156</v>
      </c>
      <c r="O147">
        <f t="shared" si="12"/>
        <v>5205</v>
      </c>
      <c r="P147">
        <f t="shared" si="13"/>
        <v>6980</v>
      </c>
      <c r="Q147" s="1" t="str">
        <f t="shared" si="14"/>
        <v>Very High</v>
      </c>
    </row>
    <row r="148" spans="1:17">
      <c r="A148" t="s">
        <v>173</v>
      </c>
      <c r="B148" t="s">
        <v>18</v>
      </c>
      <c r="C148" t="s">
        <v>21</v>
      </c>
      <c r="D148">
        <v>0</v>
      </c>
      <c r="E148" t="s">
        <v>27</v>
      </c>
      <c r="F148" t="s">
        <v>21</v>
      </c>
      <c r="G148">
        <v>3276</v>
      </c>
      <c r="H148">
        <v>0</v>
      </c>
      <c r="I148">
        <v>90</v>
      </c>
      <c r="J148">
        <v>360</v>
      </c>
      <c r="K148">
        <v>1</v>
      </c>
      <c r="L148" t="s">
        <v>31</v>
      </c>
      <c r="M148">
        <f t="shared" si="10"/>
        <v>3276</v>
      </c>
      <c r="N148">
        <f t="shared" si="11"/>
        <v>4156</v>
      </c>
      <c r="O148">
        <f t="shared" si="12"/>
        <v>5205</v>
      </c>
      <c r="P148">
        <f t="shared" si="13"/>
        <v>6980</v>
      </c>
      <c r="Q148" s="1" t="str">
        <f t="shared" si="14"/>
        <v>Low</v>
      </c>
    </row>
    <row r="149" spans="1:17">
      <c r="A149" t="s">
        <v>174</v>
      </c>
      <c r="B149" t="s">
        <v>18</v>
      </c>
      <c r="C149" t="s">
        <v>21</v>
      </c>
      <c r="D149">
        <v>0</v>
      </c>
      <c r="E149" t="s">
        <v>27</v>
      </c>
      <c r="F149" t="s">
        <v>19</v>
      </c>
      <c r="G149">
        <v>8703</v>
      </c>
      <c r="H149">
        <v>0</v>
      </c>
      <c r="I149">
        <v>199</v>
      </c>
      <c r="J149">
        <v>360</v>
      </c>
      <c r="K149">
        <v>0</v>
      </c>
      <c r="L149" t="s">
        <v>33</v>
      </c>
      <c r="M149">
        <f t="shared" si="10"/>
        <v>8703</v>
      </c>
      <c r="N149">
        <f t="shared" si="11"/>
        <v>4156</v>
      </c>
      <c r="O149">
        <f t="shared" si="12"/>
        <v>5205</v>
      </c>
      <c r="P149">
        <f t="shared" si="13"/>
        <v>6980</v>
      </c>
      <c r="Q149" s="1" t="str">
        <f t="shared" si="14"/>
        <v>Very High</v>
      </c>
    </row>
    <row r="150" spans="1:17">
      <c r="A150" t="s">
        <v>175</v>
      </c>
      <c r="B150" t="s">
        <v>18</v>
      </c>
      <c r="C150" t="s">
        <v>19</v>
      </c>
      <c r="D150">
        <v>1</v>
      </c>
      <c r="E150" t="s">
        <v>20</v>
      </c>
      <c r="F150" t="s">
        <v>21</v>
      </c>
      <c r="G150">
        <v>4742</v>
      </c>
      <c r="H150">
        <v>717</v>
      </c>
      <c r="I150">
        <v>139</v>
      </c>
      <c r="J150">
        <v>360</v>
      </c>
      <c r="K150">
        <v>1</v>
      </c>
      <c r="L150" t="s">
        <v>31</v>
      </c>
      <c r="M150">
        <f t="shared" si="10"/>
        <v>5459</v>
      </c>
      <c r="N150">
        <f t="shared" si="11"/>
        <v>4156</v>
      </c>
      <c r="O150">
        <f t="shared" si="12"/>
        <v>5205</v>
      </c>
      <c r="P150">
        <f t="shared" si="13"/>
        <v>6980</v>
      </c>
      <c r="Q150" s="1" t="str">
        <f t="shared" si="14"/>
        <v>High</v>
      </c>
    </row>
    <row r="151" spans="1:17">
      <c r="A151" t="s">
        <v>176</v>
      </c>
      <c r="B151" t="s">
        <v>18</v>
      </c>
      <c r="C151" t="s">
        <v>21</v>
      </c>
      <c r="D151">
        <v>0</v>
      </c>
      <c r="E151" t="s">
        <v>20</v>
      </c>
      <c r="F151" t="s">
        <v>21</v>
      </c>
      <c r="G151">
        <v>5900</v>
      </c>
      <c r="H151">
        <v>0</v>
      </c>
      <c r="I151">
        <v>150</v>
      </c>
      <c r="J151">
        <v>360</v>
      </c>
      <c r="K151">
        <v>1</v>
      </c>
      <c r="L151" t="s">
        <v>22</v>
      </c>
      <c r="M151">
        <f t="shared" si="10"/>
        <v>5900</v>
      </c>
      <c r="N151">
        <f t="shared" si="11"/>
        <v>4156</v>
      </c>
      <c r="O151">
        <f t="shared" si="12"/>
        <v>5205</v>
      </c>
      <c r="P151">
        <f t="shared" si="13"/>
        <v>6980</v>
      </c>
      <c r="Q151" s="1" t="str">
        <f t="shared" si="14"/>
        <v>High</v>
      </c>
    </row>
    <row r="152" spans="1:17">
      <c r="A152" t="s">
        <v>177</v>
      </c>
      <c r="B152" t="s">
        <v>18</v>
      </c>
      <c r="C152" t="s">
        <v>21</v>
      </c>
      <c r="D152">
        <v>0</v>
      </c>
      <c r="E152" t="s">
        <v>20</v>
      </c>
      <c r="F152" t="s">
        <v>21</v>
      </c>
      <c r="G152">
        <v>3071</v>
      </c>
      <c r="H152">
        <v>4309</v>
      </c>
      <c r="I152">
        <v>180</v>
      </c>
      <c r="J152">
        <v>360</v>
      </c>
      <c r="K152">
        <v>1</v>
      </c>
      <c r="L152" t="s">
        <v>22</v>
      </c>
      <c r="M152">
        <f t="shared" si="10"/>
        <v>7380</v>
      </c>
      <c r="N152">
        <f t="shared" si="11"/>
        <v>4156</v>
      </c>
      <c r="O152">
        <f t="shared" si="12"/>
        <v>5205</v>
      </c>
      <c r="P152">
        <f t="shared" si="13"/>
        <v>6980</v>
      </c>
      <c r="Q152" s="1" t="str">
        <f t="shared" si="14"/>
        <v>Very High</v>
      </c>
    </row>
    <row r="153" spans="1:17">
      <c r="A153" t="s">
        <v>178</v>
      </c>
      <c r="B153" t="s">
        <v>18</v>
      </c>
      <c r="C153" t="s">
        <v>19</v>
      </c>
      <c r="D153">
        <v>0</v>
      </c>
      <c r="E153" t="s">
        <v>20</v>
      </c>
      <c r="F153" t="s">
        <v>21</v>
      </c>
      <c r="G153">
        <v>2783</v>
      </c>
      <c r="H153">
        <v>1456</v>
      </c>
      <c r="I153">
        <v>113</v>
      </c>
      <c r="J153">
        <v>360</v>
      </c>
      <c r="K153">
        <v>1</v>
      </c>
      <c r="L153" t="s">
        <v>22</v>
      </c>
      <c r="M153">
        <f t="shared" si="10"/>
        <v>4239</v>
      </c>
      <c r="N153">
        <f t="shared" si="11"/>
        <v>4156</v>
      </c>
      <c r="O153">
        <f t="shared" si="12"/>
        <v>5205</v>
      </c>
      <c r="P153">
        <f t="shared" si="13"/>
        <v>6980</v>
      </c>
      <c r="Q153" s="1" t="str">
        <f t="shared" si="14"/>
        <v>Medium</v>
      </c>
    </row>
    <row r="154" spans="1:17">
      <c r="A154" t="s">
        <v>179</v>
      </c>
      <c r="B154" t="s">
        <v>18</v>
      </c>
      <c r="C154" t="s">
        <v>21</v>
      </c>
      <c r="D154">
        <v>0</v>
      </c>
      <c r="E154" t="s">
        <v>20</v>
      </c>
      <c r="F154" t="s">
        <v>21</v>
      </c>
      <c r="G154">
        <v>5000</v>
      </c>
      <c r="H154">
        <v>0</v>
      </c>
      <c r="I154">
        <v>148</v>
      </c>
      <c r="J154">
        <v>360</v>
      </c>
      <c r="K154">
        <v>1</v>
      </c>
      <c r="L154" t="s">
        <v>33</v>
      </c>
      <c r="M154">
        <f t="shared" si="10"/>
        <v>5000</v>
      </c>
      <c r="N154">
        <f t="shared" si="11"/>
        <v>4156</v>
      </c>
      <c r="O154">
        <f t="shared" si="12"/>
        <v>5205</v>
      </c>
      <c r="P154">
        <f t="shared" si="13"/>
        <v>6980</v>
      </c>
      <c r="Q154" s="1" t="str">
        <f t="shared" si="14"/>
        <v>Medium</v>
      </c>
    </row>
    <row r="155" spans="1:17">
      <c r="A155" t="s">
        <v>180</v>
      </c>
      <c r="B155" t="s">
        <v>18</v>
      </c>
      <c r="C155" t="s">
        <v>19</v>
      </c>
      <c r="D155">
        <v>1</v>
      </c>
      <c r="E155" t="s">
        <v>27</v>
      </c>
      <c r="F155" t="s">
        <v>21</v>
      </c>
      <c r="G155">
        <v>2463</v>
      </c>
      <c r="H155">
        <v>2360</v>
      </c>
      <c r="I155">
        <v>117</v>
      </c>
      <c r="J155">
        <v>360</v>
      </c>
      <c r="K155">
        <v>0</v>
      </c>
      <c r="L155" t="s">
        <v>22</v>
      </c>
      <c r="M155">
        <f t="shared" si="10"/>
        <v>4823</v>
      </c>
      <c r="N155">
        <f t="shared" si="11"/>
        <v>4156</v>
      </c>
      <c r="O155">
        <f t="shared" si="12"/>
        <v>5205</v>
      </c>
      <c r="P155">
        <f t="shared" si="13"/>
        <v>6980</v>
      </c>
      <c r="Q155" s="1" t="str">
        <f t="shared" si="14"/>
        <v>Medium</v>
      </c>
    </row>
    <row r="156" spans="1:17">
      <c r="A156" t="s">
        <v>181</v>
      </c>
      <c r="B156" t="s">
        <v>18</v>
      </c>
      <c r="C156" t="s">
        <v>19</v>
      </c>
      <c r="D156">
        <v>2</v>
      </c>
      <c r="E156" t="s">
        <v>20</v>
      </c>
      <c r="F156" t="s">
        <v>21</v>
      </c>
      <c r="G156">
        <v>4855</v>
      </c>
      <c r="H156">
        <v>0</v>
      </c>
      <c r="I156">
        <v>72</v>
      </c>
      <c r="J156">
        <v>360</v>
      </c>
      <c r="K156">
        <v>1</v>
      </c>
      <c r="L156" t="s">
        <v>33</v>
      </c>
      <c r="M156">
        <f t="shared" si="10"/>
        <v>4855</v>
      </c>
      <c r="N156">
        <f t="shared" si="11"/>
        <v>4156</v>
      </c>
      <c r="O156">
        <f t="shared" si="12"/>
        <v>5205</v>
      </c>
      <c r="P156">
        <f t="shared" si="13"/>
        <v>6980</v>
      </c>
      <c r="Q156" s="1" t="str">
        <f t="shared" si="14"/>
        <v>Medium</v>
      </c>
    </row>
    <row r="157" spans="1:17">
      <c r="A157" t="s">
        <v>182</v>
      </c>
      <c r="B157" t="s">
        <v>18</v>
      </c>
      <c r="C157" t="s">
        <v>21</v>
      </c>
      <c r="D157">
        <v>0</v>
      </c>
      <c r="E157" t="s">
        <v>27</v>
      </c>
      <c r="F157" t="s">
        <v>19</v>
      </c>
      <c r="G157">
        <v>1599</v>
      </c>
      <c r="H157">
        <v>2474</v>
      </c>
      <c r="I157">
        <v>125</v>
      </c>
      <c r="J157">
        <v>300</v>
      </c>
      <c r="K157">
        <v>1</v>
      </c>
      <c r="L157" t="s">
        <v>31</v>
      </c>
      <c r="M157">
        <f t="shared" si="10"/>
        <v>4073</v>
      </c>
      <c r="N157">
        <f t="shared" si="11"/>
        <v>4156</v>
      </c>
      <c r="O157">
        <f t="shared" si="12"/>
        <v>5205</v>
      </c>
      <c r="P157">
        <f t="shared" si="13"/>
        <v>6980</v>
      </c>
      <c r="Q157" s="1" t="str">
        <f t="shared" si="14"/>
        <v>Low</v>
      </c>
    </row>
    <row r="158" spans="1:17">
      <c r="A158" t="s">
        <v>183</v>
      </c>
      <c r="B158" t="s">
        <v>18</v>
      </c>
      <c r="C158" t="s">
        <v>19</v>
      </c>
      <c r="D158">
        <v>2</v>
      </c>
      <c r="E158" t="s">
        <v>20</v>
      </c>
      <c r="F158" t="s">
        <v>19</v>
      </c>
      <c r="G158">
        <v>4246</v>
      </c>
      <c r="H158">
        <v>4246</v>
      </c>
      <c r="I158">
        <v>214</v>
      </c>
      <c r="J158">
        <v>360</v>
      </c>
      <c r="K158">
        <v>1</v>
      </c>
      <c r="L158" t="s">
        <v>22</v>
      </c>
      <c r="M158">
        <f t="shared" si="10"/>
        <v>8492</v>
      </c>
      <c r="N158">
        <f t="shared" si="11"/>
        <v>4156</v>
      </c>
      <c r="O158">
        <f t="shared" si="12"/>
        <v>5205</v>
      </c>
      <c r="P158">
        <f t="shared" si="13"/>
        <v>6980</v>
      </c>
      <c r="Q158" s="1" t="str">
        <f t="shared" si="14"/>
        <v>Very High</v>
      </c>
    </row>
    <row r="159" spans="1:17">
      <c r="A159" t="s">
        <v>184</v>
      </c>
      <c r="B159" t="s">
        <v>18</v>
      </c>
      <c r="C159" t="s">
        <v>19</v>
      </c>
      <c r="D159">
        <v>0</v>
      </c>
      <c r="E159" t="s">
        <v>20</v>
      </c>
      <c r="F159" t="s">
        <v>21</v>
      </c>
      <c r="G159">
        <v>4333</v>
      </c>
      <c r="H159">
        <v>2291</v>
      </c>
      <c r="I159">
        <v>133</v>
      </c>
      <c r="J159">
        <v>350</v>
      </c>
      <c r="K159">
        <v>1</v>
      </c>
      <c r="L159" t="s">
        <v>33</v>
      </c>
      <c r="M159">
        <f t="shared" si="10"/>
        <v>6624</v>
      </c>
      <c r="N159">
        <f t="shared" si="11"/>
        <v>4156</v>
      </c>
      <c r="O159">
        <f t="shared" si="12"/>
        <v>5205</v>
      </c>
      <c r="P159">
        <f t="shared" si="13"/>
        <v>6980</v>
      </c>
      <c r="Q159" s="1" t="str">
        <f t="shared" si="14"/>
        <v>High</v>
      </c>
    </row>
    <row r="160" spans="1:17">
      <c r="A160" t="s">
        <v>185</v>
      </c>
      <c r="B160" t="s">
        <v>18</v>
      </c>
      <c r="C160" t="s">
        <v>21</v>
      </c>
      <c r="D160">
        <v>1</v>
      </c>
      <c r="E160" t="s">
        <v>20</v>
      </c>
      <c r="F160" t="s">
        <v>21</v>
      </c>
      <c r="G160">
        <v>5823</v>
      </c>
      <c r="H160">
        <v>2529</v>
      </c>
      <c r="I160">
        <v>187</v>
      </c>
      <c r="J160">
        <v>360</v>
      </c>
      <c r="K160">
        <v>1</v>
      </c>
      <c r="L160" t="s">
        <v>31</v>
      </c>
      <c r="M160">
        <f t="shared" si="10"/>
        <v>8352</v>
      </c>
      <c r="N160">
        <f t="shared" si="11"/>
        <v>4156</v>
      </c>
      <c r="O160">
        <f t="shared" si="12"/>
        <v>5205</v>
      </c>
      <c r="P160">
        <f t="shared" si="13"/>
        <v>6980</v>
      </c>
      <c r="Q160" s="1" t="str">
        <f t="shared" si="14"/>
        <v>Very High</v>
      </c>
    </row>
    <row r="161" spans="1:17">
      <c r="A161" t="s">
        <v>186</v>
      </c>
      <c r="B161" t="s">
        <v>18</v>
      </c>
      <c r="C161" t="s">
        <v>19</v>
      </c>
      <c r="D161">
        <v>0</v>
      </c>
      <c r="E161" t="s">
        <v>27</v>
      </c>
      <c r="F161" t="s">
        <v>21</v>
      </c>
      <c r="G161">
        <v>7895</v>
      </c>
      <c r="H161">
        <v>0</v>
      </c>
      <c r="I161">
        <v>143</v>
      </c>
      <c r="J161">
        <v>360</v>
      </c>
      <c r="K161">
        <v>1</v>
      </c>
      <c r="L161" t="s">
        <v>33</v>
      </c>
      <c r="M161">
        <f t="shared" si="10"/>
        <v>7895</v>
      </c>
      <c r="N161">
        <f t="shared" si="11"/>
        <v>4156</v>
      </c>
      <c r="O161">
        <f t="shared" si="12"/>
        <v>5205</v>
      </c>
      <c r="P161">
        <f t="shared" si="13"/>
        <v>6980</v>
      </c>
      <c r="Q161" s="1" t="str">
        <f t="shared" si="14"/>
        <v>Very High</v>
      </c>
    </row>
    <row r="162" spans="1:17">
      <c r="A162" t="s">
        <v>187</v>
      </c>
      <c r="B162" t="s">
        <v>18</v>
      </c>
      <c r="C162" t="s">
        <v>21</v>
      </c>
      <c r="D162">
        <v>0</v>
      </c>
      <c r="E162" t="s">
        <v>20</v>
      </c>
      <c r="F162" t="s">
        <v>21</v>
      </c>
      <c r="G162">
        <v>4150</v>
      </c>
      <c r="H162">
        <v>4256</v>
      </c>
      <c r="I162">
        <v>209</v>
      </c>
      <c r="J162">
        <v>360</v>
      </c>
      <c r="K162">
        <v>1</v>
      </c>
      <c r="L162" t="s">
        <v>33</v>
      </c>
      <c r="M162">
        <f t="shared" si="10"/>
        <v>8406</v>
      </c>
      <c r="N162">
        <f t="shared" si="11"/>
        <v>4156</v>
      </c>
      <c r="O162">
        <f t="shared" si="12"/>
        <v>5205</v>
      </c>
      <c r="P162">
        <f t="shared" si="13"/>
        <v>6980</v>
      </c>
      <c r="Q162" s="1" t="str">
        <f t="shared" si="14"/>
        <v>Very High</v>
      </c>
    </row>
    <row r="163" spans="1:17">
      <c r="A163" t="s">
        <v>188</v>
      </c>
      <c r="B163" t="s">
        <v>18</v>
      </c>
      <c r="C163" t="s">
        <v>21</v>
      </c>
      <c r="D163">
        <v>0</v>
      </c>
      <c r="E163" t="s">
        <v>20</v>
      </c>
      <c r="F163" t="s">
        <v>35</v>
      </c>
      <c r="G163">
        <v>2964</v>
      </c>
      <c r="H163">
        <v>0</v>
      </c>
      <c r="I163">
        <v>84</v>
      </c>
      <c r="J163">
        <v>360</v>
      </c>
      <c r="K163">
        <v>0</v>
      </c>
      <c r="L163" t="s">
        <v>31</v>
      </c>
      <c r="M163">
        <f t="shared" si="10"/>
        <v>2964</v>
      </c>
      <c r="N163">
        <f t="shared" si="11"/>
        <v>4156</v>
      </c>
      <c r="O163">
        <f t="shared" si="12"/>
        <v>5205</v>
      </c>
      <c r="P163">
        <f t="shared" si="13"/>
        <v>6980</v>
      </c>
      <c r="Q163" s="1" t="str">
        <f t="shared" si="14"/>
        <v>Low</v>
      </c>
    </row>
    <row r="164" spans="1:17">
      <c r="A164" t="s">
        <v>189</v>
      </c>
      <c r="B164" t="s">
        <v>18</v>
      </c>
      <c r="C164" t="s">
        <v>21</v>
      </c>
      <c r="D164">
        <v>0</v>
      </c>
      <c r="E164" t="s">
        <v>20</v>
      </c>
      <c r="F164" t="s">
        <v>21</v>
      </c>
      <c r="G164">
        <v>5583</v>
      </c>
      <c r="H164">
        <v>0</v>
      </c>
      <c r="I164">
        <v>116</v>
      </c>
      <c r="J164">
        <v>360</v>
      </c>
      <c r="K164">
        <v>1</v>
      </c>
      <c r="L164" t="s">
        <v>22</v>
      </c>
      <c r="M164">
        <f t="shared" si="10"/>
        <v>5583</v>
      </c>
      <c r="N164">
        <f t="shared" si="11"/>
        <v>4156</v>
      </c>
      <c r="O164">
        <f t="shared" si="12"/>
        <v>5205</v>
      </c>
      <c r="P164">
        <f t="shared" si="13"/>
        <v>6980</v>
      </c>
      <c r="Q164" s="1" t="str">
        <f t="shared" si="14"/>
        <v>High</v>
      </c>
    </row>
    <row r="165" spans="1:17">
      <c r="A165" t="s">
        <v>190</v>
      </c>
      <c r="B165" t="s">
        <v>30</v>
      </c>
      <c r="C165" t="s">
        <v>21</v>
      </c>
      <c r="D165">
        <v>0</v>
      </c>
      <c r="E165" t="s">
        <v>20</v>
      </c>
      <c r="F165" t="s">
        <v>21</v>
      </c>
      <c r="G165">
        <v>2708</v>
      </c>
      <c r="H165">
        <v>0</v>
      </c>
      <c r="I165">
        <v>65</v>
      </c>
      <c r="J165">
        <v>360</v>
      </c>
      <c r="K165">
        <v>1</v>
      </c>
      <c r="L165" t="s">
        <v>33</v>
      </c>
      <c r="M165">
        <f t="shared" si="10"/>
        <v>2708</v>
      </c>
      <c r="N165">
        <f t="shared" si="11"/>
        <v>4156</v>
      </c>
      <c r="O165">
        <f t="shared" si="12"/>
        <v>5205</v>
      </c>
      <c r="P165">
        <f t="shared" si="13"/>
        <v>6980</v>
      </c>
      <c r="Q165" s="1" t="str">
        <f t="shared" si="14"/>
        <v>Low</v>
      </c>
    </row>
    <row r="166" spans="1:17">
      <c r="A166" t="s">
        <v>191</v>
      </c>
      <c r="B166" t="s">
        <v>18</v>
      </c>
      <c r="C166" t="s">
        <v>21</v>
      </c>
      <c r="D166">
        <v>1</v>
      </c>
      <c r="E166" t="s">
        <v>20</v>
      </c>
      <c r="F166" t="s">
        <v>21</v>
      </c>
      <c r="G166">
        <v>3180</v>
      </c>
      <c r="H166">
        <v>2370</v>
      </c>
      <c r="I166">
        <v>80</v>
      </c>
      <c r="J166">
        <v>240</v>
      </c>
      <c r="L166" t="s">
        <v>33</v>
      </c>
      <c r="M166">
        <f t="shared" si="10"/>
        <v>5550</v>
      </c>
      <c r="N166">
        <f t="shared" si="11"/>
        <v>4156</v>
      </c>
      <c r="O166">
        <f t="shared" si="12"/>
        <v>5205</v>
      </c>
      <c r="P166">
        <f t="shared" si="13"/>
        <v>6980</v>
      </c>
      <c r="Q166" s="1" t="str">
        <f t="shared" si="14"/>
        <v>High</v>
      </c>
    </row>
    <row r="167" spans="1:17">
      <c r="A167" t="s">
        <v>192</v>
      </c>
      <c r="B167" t="s">
        <v>18</v>
      </c>
      <c r="C167" t="s">
        <v>21</v>
      </c>
      <c r="D167">
        <v>0</v>
      </c>
      <c r="E167" t="s">
        <v>27</v>
      </c>
      <c r="F167" t="s">
        <v>21</v>
      </c>
      <c r="G167">
        <v>2268</v>
      </c>
      <c r="H167">
        <v>0</v>
      </c>
      <c r="I167">
        <v>170</v>
      </c>
      <c r="J167">
        <v>360</v>
      </c>
      <c r="K167">
        <v>0</v>
      </c>
      <c r="L167" t="s">
        <v>31</v>
      </c>
      <c r="M167">
        <f t="shared" si="10"/>
        <v>2268</v>
      </c>
      <c r="N167">
        <f t="shared" si="11"/>
        <v>4156</v>
      </c>
      <c r="O167">
        <f t="shared" si="12"/>
        <v>5205</v>
      </c>
      <c r="P167">
        <f t="shared" si="13"/>
        <v>6980</v>
      </c>
      <c r="Q167" s="1" t="str">
        <f t="shared" si="14"/>
        <v>Low</v>
      </c>
    </row>
    <row r="168" spans="1:17">
      <c r="A168" t="s">
        <v>193</v>
      </c>
      <c r="B168" t="s">
        <v>18</v>
      </c>
      <c r="C168" t="s">
        <v>21</v>
      </c>
      <c r="D168">
        <v>2</v>
      </c>
      <c r="E168" t="s">
        <v>27</v>
      </c>
      <c r="F168" t="s">
        <v>21</v>
      </c>
      <c r="G168">
        <v>1141</v>
      </c>
      <c r="H168">
        <v>2017</v>
      </c>
      <c r="I168">
        <v>120</v>
      </c>
      <c r="J168">
        <v>360</v>
      </c>
      <c r="K168">
        <v>0</v>
      </c>
      <c r="L168" t="s">
        <v>22</v>
      </c>
      <c r="M168">
        <f t="shared" si="10"/>
        <v>3158</v>
      </c>
      <c r="N168">
        <f t="shared" si="11"/>
        <v>4156</v>
      </c>
      <c r="O168">
        <f t="shared" si="12"/>
        <v>5205</v>
      </c>
      <c r="P168">
        <f t="shared" si="13"/>
        <v>6980</v>
      </c>
      <c r="Q168" s="1" t="str">
        <f t="shared" si="14"/>
        <v>Low</v>
      </c>
    </row>
    <row r="169" spans="1:17">
      <c r="A169" t="s">
        <v>194</v>
      </c>
      <c r="B169" t="s">
        <v>18</v>
      </c>
      <c r="C169" t="s">
        <v>19</v>
      </c>
      <c r="D169">
        <v>0</v>
      </c>
      <c r="E169" t="s">
        <v>20</v>
      </c>
      <c r="F169" t="s">
        <v>21</v>
      </c>
      <c r="G169">
        <v>3042</v>
      </c>
      <c r="H169">
        <v>3167</v>
      </c>
      <c r="I169">
        <v>135</v>
      </c>
      <c r="J169">
        <v>360</v>
      </c>
      <c r="K169">
        <v>1</v>
      </c>
      <c r="L169" t="s">
        <v>22</v>
      </c>
      <c r="M169">
        <f t="shared" si="10"/>
        <v>6209</v>
      </c>
      <c r="N169">
        <f t="shared" si="11"/>
        <v>4156</v>
      </c>
      <c r="O169">
        <f t="shared" si="12"/>
        <v>5205</v>
      </c>
      <c r="P169">
        <f t="shared" si="13"/>
        <v>6980</v>
      </c>
      <c r="Q169" s="1" t="str">
        <f t="shared" si="14"/>
        <v>High</v>
      </c>
    </row>
    <row r="170" spans="1:17">
      <c r="A170" t="s">
        <v>195</v>
      </c>
      <c r="B170" t="s">
        <v>30</v>
      </c>
      <c r="C170" t="s">
        <v>19</v>
      </c>
      <c r="D170">
        <v>3</v>
      </c>
      <c r="E170" t="s">
        <v>20</v>
      </c>
      <c r="F170" t="s">
        <v>35</v>
      </c>
      <c r="G170">
        <v>1750</v>
      </c>
      <c r="H170">
        <v>2935</v>
      </c>
      <c r="I170">
        <v>94</v>
      </c>
      <c r="J170">
        <v>360</v>
      </c>
      <c r="K170">
        <v>0</v>
      </c>
      <c r="L170" t="s">
        <v>31</v>
      </c>
      <c r="M170">
        <f t="shared" si="10"/>
        <v>4685</v>
      </c>
      <c r="N170">
        <f t="shared" si="11"/>
        <v>4156</v>
      </c>
      <c r="O170">
        <f t="shared" si="12"/>
        <v>5205</v>
      </c>
      <c r="P170">
        <f t="shared" si="13"/>
        <v>6980</v>
      </c>
      <c r="Q170" s="1" t="str">
        <f t="shared" si="14"/>
        <v>Medium</v>
      </c>
    </row>
    <row r="171" spans="1:17">
      <c r="A171" t="s">
        <v>196</v>
      </c>
      <c r="B171" t="s">
        <v>30</v>
      </c>
      <c r="C171" t="s">
        <v>19</v>
      </c>
      <c r="D171">
        <v>1</v>
      </c>
      <c r="E171" t="s">
        <v>20</v>
      </c>
      <c r="F171" t="s">
        <v>21</v>
      </c>
      <c r="G171">
        <v>3564</v>
      </c>
      <c r="H171">
        <v>0</v>
      </c>
      <c r="I171">
        <v>79</v>
      </c>
      <c r="J171">
        <v>360</v>
      </c>
      <c r="K171">
        <v>1</v>
      </c>
      <c r="L171" t="s">
        <v>33</v>
      </c>
      <c r="M171">
        <f t="shared" si="10"/>
        <v>3564</v>
      </c>
      <c r="N171">
        <f t="shared" si="11"/>
        <v>4156</v>
      </c>
      <c r="O171">
        <f t="shared" si="12"/>
        <v>5205</v>
      </c>
      <c r="P171">
        <f t="shared" si="13"/>
        <v>6980</v>
      </c>
      <c r="Q171" s="1" t="str">
        <f t="shared" si="14"/>
        <v>Low</v>
      </c>
    </row>
    <row r="172" spans="1:17">
      <c r="A172" t="s">
        <v>197</v>
      </c>
      <c r="B172" t="s">
        <v>30</v>
      </c>
      <c r="C172" t="s">
        <v>21</v>
      </c>
      <c r="D172">
        <v>0</v>
      </c>
      <c r="E172" t="s">
        <v>20</v>
      </c>
      <c r="F172" t="s">
        <v>21</v>
      </c>
      <c r="G172">
        <v>3958</v>
      </c>
      <c r="H172">
        <v>0</v>
      </c>
      <c r="I172">
        <v>110</v>
      </c>
      <c r="J172">
        <v>360</v>
      </c>
      <c r="K172">
        <v>1</v>
      </c>
      <c r="L172" t="s">
        <v>33</v>
      </c>
      <c r="M172">
        <f t="shared" si="10"/>
        <v>3958</v>
      </c>
      <c r="N172">
        <f t="shared" si="11"/>
        <v>4156</v>
      </c>
      <c r="O172">
        <f t="shared" si="12"/>
        <v>5205</v>
      </c>
      <c r="P172">
        <f t="shared" si="13"/>
        <v>6980</v>
      </c>
      <c r="Q172" s="1" t="str">
        <f t="shared" si="14"/>
        <v>Low</v>
      </c>
    </row>
    <row r="173" spans="1:17">
      <c r="A173" t="s">
        <v>198</v>
      </c>
      <c r="B173" t="s">
        <v>18</v>
      </c>
      <c r="C173" t="s">
        <v>19</v>
      </c>
      <c r="D173">
        <v>2</v>
      </c>
      <c r="E173" t="s">
        <v>27</v>
      </c>
      <c r="F173" t="s">
        <v>21</v>
      </c>
      <c r="G173">
        <v>4483</v>
      </c>
      <c r="H173">
        <v>0</v>
      </c>
      <c r="I173">
        <v>130</v>
      </c>
      <c r="J173">
        <v>360</v>
      </c>
      <c r="K173">
        <v>1</v>
      </c>
      <c r="L173" t="s">
        <v>33</v>
      </c>
      <c r="M173">
        <f t="shared" si="10"/>
        <v>4483</v>
      </c>
      <c r="N173">
        <f t="shared" si="11"/>
        <v>4156</v>
      </c>
      <c r="O173">
        <f t="shared" si="12"/>
        <v>5205</v>
      </c>
      <c r="P173">
        <f t="shared" si="13"/>
        <v>6980</v>
      </c>
      <c r="Q173" s="1" t="str">
        <f t="shared" si="14"/>
        <v>Medium</v>
      </c>
    </row>
    <row r="174" spans="1:17">
      <c r="A174" t="s">
        <v>199</v>
      </c>
      <c r="B174" t="s">
        <v>18</v>
      </c>
      <c r="C174" t="s">
        <v>19</v>
      </c>
      <c r="D174">
        <v>0</v>
      </c>
      <c r="E174" t="s">
        <v>20</v>
      </c>
      <c r="F174" t="s">
        <v>21</v>
      </c>
      <c r="G174">
        <v>5225</v>
      </c>
      <c r="H174">
        <v>0</v>
      </c>
      <c r="I174">
        <v>143</v>
      </c>
      <c r="J174">
        <v>360</v>
      </c>
      <c r="K174">
        <v>1</v>
      </c>
      <c r="L174" t="s">
        <v>33</v>
      </c>
      <c r="M174">
        <f t="shared" si="10"/>
        <v>5225</v>
      </c>
      <c r="N174">
        <f t="shared" si="11"/>
        <v>4156</v>
      </c>
      <c r="O174">
        <f t="shared" si="12"/>
        <v>5205</v>
      </c>
      <c r="P174">
        <f t="shared" si="13"/>
        <v>6980</v>
      </c>
      <c r="Q174" s="1" t="str">
        <f t="shared" si="14"/>
        <v>High</v>
      </c>
    </row>
    <row r="175" spans="1:17">
      <c r="A175" t="s">
        <v>200</v>
      </c>
      <c r="B175" t="s">
        <v>18</v>
      </c>
      <c r="C175" t="s">
        <v>21</v>
      </c>
      <c r="D175">
        <v>0</v>
      </c>
      <c r="E175" t="s">
        <v>20</v>
      </c>
      <c r="F175" t="s">
        <v>21</v>
      </c>
      <c r="G175">
        <v>3017</v>
      </c>
      <c r="H175">
        <v>2845</v>
      </c>
      <c r="I175">
        <v>159</v>
      </c>
      <c r="J175">
        <v>180</v>
      </c>
      <c r="K175">
        <v>0</v>
      </c>
      <c r="L175" t="s">
        <v>22</v>
      </c>
      <c r="M175">
        <f t="shared" si="10"/>
        <v>5862</v>
      </c>
      <c r="N175">
        <f t="shared" si="11"/>
        <v>4156</v>
      </c>
      <c r="O175">
        <f t="shared" si="12"/>
        <v>5205</v>
      </c>
      <c r="P175">
        <f t="shared" si="13"/>
        <v>6980</v>
      </c>
      <c r="Q175" s="1" t="str">
        <f t="shared" si="14"/>
        <v>High</v>
      </c>
    </row>
    <row r="176" spans="1:17">
      <c r="A176" t="s">
        <v>201</v>
      </c>
      <c r="B176" t="s">
        <v>18</v>
      </c>
      <c r="C176" t="s">
        <v>19</v>
      </c>
      <c r="D176">
        <v>0</v>
      </c>
      <c r="E176" t="s">
        <v>27</v>
      </c>
      <c r="F176" t="s">
        <v>21</v>
      </c>
      <c r="G176">
        <v>2431</v>
      </c>
      <c r="H176">
        <v>1820</v>
      </c>
      <c r="I176">
        <v>110</v>
      </c>
      <c r="J176">
        <v>360</v>
      </c>
      <c r="K176">
        <v>0</v>
      </c>
      <c r="L176" t="s">
        <v>33</v>
      </c>
      <c r="M176">
        <f t="shared" si="10"/>
        <v>4251</v>
      </c>
      <c r="N176">
        <f t="shared" si="11"/>
        <v>4156</v>
      </c>
      <c r="O176">
        <f t="shared" si="12"/>
        <v>5205</v>
      </c>
      <c r="P176">
        <f t="shared" si="13"/>
        <v>6980</v>
      </c>
      <c r="Q176" s="1" t="str">
        <f t="shared" si="14"/>
        <v>Medium</v>
      </c>
    </row>
    <row r="177" spans="1:17">
      <c r="A177" t="s">
        <v>202</v>
      </c>
      <c r="B177" t="s">
        <v>18</v>
      </c>
      <c r="C177" t="s">
        <v>19</v>
      </c>
      <c r="D177">
        <v>2</v>
      </c>
      <c r="E177" t="s">
        <v>20</v>
      </c>
      <c r="F177" t="s">
        <v>35</v>
      </c>
      <c r="G177">
        <v>4912</v>
      </c>
      <c r="H177">
        <v>4614</v>
      </c>
      <c r="I177">
        <v>160</v>
      </c>
      <c r="J177">
        <v>360</v>
      </c>
      <c r="K177">
        <v>1</v>
      </c>
      <c r="L177" t="s">
        <v>33</v>
      </c>
      <c r="M177">
        <f t="shared" si="10"/>
        <v>9526</v>
      </c>
      <c r="N177">
        <f t="shared" si="11"/>
        <v>4156</v>
      </c>
      <c r="O177">
        <f t="shared" si="12"/>
        <v>5205</v>
      </c>
      <c r="P177">
        <f t="shared" si="13"/>
        <v>6980</v>
      </c>
      <c r="Q177" s="1" t="str">
        <f t="shared" si="14"/>
        <v>Very High</v>
      </c>
    </row>
    <row r="178" spans="1:17">
      <c r="A178" t="s">
        <v>203</v>
      </c>
      <c r="B178" t="s">
        <v>18</v>
      </c>
      <c r="C178" t="s">
        <v>19</v>
      </c>
      <c r="D178">
        <v>2</v>
      </c>
      <c r="E178" t="s">
        <v>27</v>
      </c>
      <c r="F178" t="s">
        <v>21</v>
      </c>
      <c r="G178">
        <v>2500</v>
      </c>
      <c r="H178">
        <v>3333</v>
      </c>
      <c r="I178">
        <v>131</v>
      </c>
      <c r="J178">
        <v>360</v>
      </c>
      <c r="K178">
        <v>1</v>
      </c>
      <c r="L178" t="s">
        <v>22</v>
      </c>
      <c r="M178">
        <f t="shared" si="10"/>
        <v>5833</v>
      </c>
      <c r="N178">
        <f t="shared" si="11"/>
        <v>4156</v>
      </c>
      <c r="O178">
        <f t="shared" si="12"/>
        <v>5205</v>
      </c>
      <c r="P178">
        <f t="shared" si="13"/>
        <v>6980</v>
      </c>
      <c r="Q178" s="1" t="str">
        <f t="shared" si="14"/>
        <v>High</v>
      </c>
    </row>
    <row r="179" spans="1:17">
      <c r="A179" t="s">
        <v>204</v>
      </c>
      <c r="B179" t="s">
        <v>30</v>
      </c>
      <c r="C179" t="s">
        <v>21</v>
      </c>
      <c r="D179">
        <v>0</v>
      </c>
      <c r="E179" t="s">
        <v>20</v>
      </c>
      <c r="F179" t="s">
        <v>21</v>
      </c>
      <c r="G179">
        <v>2918</v>
      </c>
      <c r="H179">
        <v>0</v>
      </c>
      <c r="I179">
        <v>65</v>
      </c>
      <c r="J179">
        <v>360</v>
      </c>
      <c r="L179" t="s">
        <v>33</v>
      </c>
      <c r="M179">
        <f t="shared" si="10"/>
        <v>2918</v>
      </c>
      <c r="N179">
        <f t="shared" si="11"/>
        <v>4156</v>
      </c>
      <c r="O179">
        <f t="shared" si="12"/>
        <v>5205</v>
      </c>
      <c r="P179">
        <f t="shared" si="13"/>
        <v>6980</v>
      </c>
      <c r="Q179" s="1" t="str">
        <f t="shared" si="14"/>
        <v>Low</v>
      </c>
    </row>
    <row r="180" spans="1:17">
      <c r="A180" t="s">
        <v>205</v>
      </c>
      <c r="B180" t="s">
        <v>18</v>
      </c>
      <c r="C180" t="s">
        <v>19</v>
      </c>
      <c r="D180">
        <v>2</v>
      </c>
      <c r="E180" t="s">
        <v>20</v>
      </c>
      <c r="F180" t="s">
        <v>21</v>
      </c>
      <c r="G180">
        <v>5128</v>
      </c>
      <c r="H180">
        <v>0</v>
      </c>
      <c r="I180">
        <v>143</v>
      </c>
      <c r="J180">
        <v>360</v>
      </c>
      <c r="K180">
        <v>1</v>
      </c>
      <c r="L180" t="s">
        <v>33</v>
      </c>
      <c r="M180">
        <f t="shared" si="10"/>
        <v>5128</v>
      </c>
      <c r="N180">
        <f t="shared" si="11"/>
        <v>4156</v>
      </c>
      <c r="O180">
        <f t="shared" si="12"/>
        <v>5205</v>
      </c>
      <c r="P180">
        <f t="shared" si="13"/>
        <v>6980</v>
      </c>
      <c r="Q180" s="1" t="str">
        <f t="shared" si="14"/>
        <v>Medium</v>
      </c>
    </row>
    <row r="181" spans="1:17">
      <c r="A181" t="s">
        <v>206</v>
      </c>
      <c r="B181" t="s">
        <v>18</v>
      </c>
      <c r="C181" t="s">
        <v>19</v>
      </c>
      <c r="D181">
        <v>3</v>
      </c>
      <c r="E181" t="s">
        <v>20</v>
      </c>
      <c r="F181" t="s">
        <v>21</v>
      </c>
      <c r="G181">
        <v>15312</v>
      </c>
      <c r="H181">
        <v>0</v>
      </c>
      <c r="I181">
        <v>187</v>
      </c>
      <c r="J181">
        <v>360</v>
      </c>
      <c r="L181" t="s">
        <v>22</v>
      </c>
      <c r="M181">
        <f t="shared" si="10"/>
        <v>15312</v>
      </c>
      <c r="N181">
        <f t="shared" si="11"/>
        <v>4156</v>
      </c>
      <c r="O181">
        <f t="shared" si="12"/>
        <v>5205</v>
      </c>
      <c r="P181">
        <f t="shared" si="13"/>
        <v>6980</v>
      </c>
      <c r="Q181" s="1" t="str">
        <f t="shared" si="14"/>
        <v>Very High</v>
      </c>
    </row>
    <row r="182" spans="1:17">
      <c r="A182" t="s">
        <v>207</v>
      </c>
      <c r="B182" t="s">
        <v>18</v>
      </c>
      <c r="C182" t="s">
        <v>19</v>
      </c>
      <c r="D182">
        <v>2</v>
      </c>
      <c r="E182" t="s">
        <v>20</v>
      </c>
      <c r="F182" t="s">
        <v>21</v>
      </c>
      <c r="G182">
        <v>3958</v>
      </c>
      <c r="H182">
        <v>2632</v>
      </c>
      <c r="I182">
        <v>160</v>
      </c>
      <c r="J182">
        <v>360</v>
      </c>
      <c r="K182">
        <v>1</v>
      </c>
      <c r="L182" t="s">
        <v>31</v>
      </c>
      <c r="M182">
        <f t="shared" si="10"/>
        <v>6590</v>
      </c>
      <c r="N182">
        <f t="shared" si="11"/>
        <v>4156</v>
      </c>
      <c r="O182">
        <f t="shared" si="12"/>
        <v>5205</v>
      </c>
      <c r="P182">
        <f t="shared" si="13"/>
        <v>6980</v>
      </c>
      <c r="Q182" s="1" t="str">
        <f t="shared" si="14"/>
        <v>High</v>
      </c>
    </row>
    <row r="183" spans="1:17">
      <c r="A183" t="s">
        <v>208</v>
      </c>
      <c r="B183" t="s">
        <v>18</v>
      </c>
      <c r="C183" t="s">
        <v>19</v>
      </c>
      <c r="D183">
        <v>0</v>
      </c>
      <c r="E183" t="s">
        <v>20</v>
      </c>
      <c r="F183" t="s">
        <v>21</v>
      </c>
      <c r="G183">
        <v>4334</v>
      </c>
      <c r="H183">
        <v>2945</v>
      </c>
      <c r="I183">
        <v>165</v>
      </c>
      <c r="J183">
        <v>360</v>
      </c>
      <c r="K183">
        <v>1</v>
      </c>
      <c r="L183" t="s">
        <v>31</v>
      </c>
      <c r="M183">
        <f t="shared" si="10"/>
        <v>7279</v>
      </c>
      <c r="N183">
        <f t="shared" si="11"/>
        <v>4156</v>
      </c>
      <c r="O183">
        <f t="shared" si="12"/>
        <v>5205</v>
      </c>
      <c r="P183">
        <f t="shared" si="13"/>
        <v>6980</v>
      </c>
      <c r="Q183" s="1" t="str">
        <f t="shared" si="14"/>
        <v>Very High</v>
      </c>
    </row>
    <row r="184" spans="1:17">
      <c r="A184" t="s">
        <v>209</v>
      </c>
      <c r="B184" t="s">
        <v>18</v>
      </c>
      <c r="C184" t="s">
        <v>19</v>
      </c>
      <c r="D184">
        <v>2</v>
      </c>
      <c r="E184" t="s">
        <v>20</v>
      </c>
      <c r="F184" t="s">
        <v>21</v>
      </c>
      <c r="G184">
        <v>4358</v>
      </c>
      <c r="H184">
        <v>0</v>
      </c>
      <c r="I184">
        <v>110</v>
      </c>
      <c r="J184">
        <v>360</v>
      </c>
      <c r="K184">
        <v>1</v>
      </c>
      <c r="L184" t="s">
        <v>22</v>
      </c>
      <c r="M184">
        <f t="shared" si="10"/>
        <v>4358</v>
      </c>
      <c r="N184">
        <f t="shared" si="11"/>
        <v>4156</v>
      </c>
      <c r="O184">
        <f t="shared" si="12"/>
        <v>5205</v>
      </c>
      <c r="P184">
        <f t="shared" si="13"/>
        <v>6980</v>
      </c>
      <c r="Q184" s="1" t="str">
        <f t="shared" si="14"/>
        <v>Medium</v>
      </c>
    </row>
    <row r="185" spans="1:17">
      <c r="A185" t="s">
        <v>210</v>
      </c>
      <c r="B185" t="s">
        <v>30</v>
      </c>
      <c r="C185" t="s">
        <v>19</v>
      </c>
      <c r="D185">
        <v>1</v>
      </c>
      <c r="E185" t="s">
        <v>20</v>
      </c>
      <c r="F185" t="s">
        <v>21</v>
      </c>
      <c r="G185">
        <v>4000</v>
      </c>
      <c r="H185">
        <v>3917</v>
      </c>
      <c r="I185">
        <v>173</v>
      </c>
      <c r="J185">
        <v>360</v>
      </c>
      <c r="K185">
        <v>1</v>
      </c>
      <c r="L185" t="s">
        <v>33</v>
      </c>
      <c r="M185">
        <f t="shared" si="10"/>
        <v>7917</v>
      </c>
      <c r="N185">
        <f t="shared" si="11"/>
        <v>4156</v>
      </c>
      <c r="O185">
        <f t="shared" si="12"/>
        <v>5205</v>
      </c>
      <c r="P185">
        <f t="shared" si="13"/>
        <v>6980</v>
      </c>
      <c r="Q185" s="1" t="str">
        <f t="shared" si="14"/>
        <v>Very High</v>
      </c>
    </row>
    <row r="186" spans="1:17">
      <c r="A186" t="s">
        <v>211</v>
      </c>
      <c r="B186" t="s">
        <v>18</v>
      </c>
      <c r="C186" t="s">
        <v>19</v>
      </c>
      <c r="D186">
        <v>3</v>
      </c>
      <c r="E186" t="s">
        <v>20</v>
      </c>
      <c r="F186" t="s">
        <v>21</v>
      </c>
      <c r="G186">
        <v>10166</v>
      </c>
      <c r="H186">
        <v>750</v>
      </c>
      <c r="I186">
        <v>150</v>
      </c>
      <c r="K186">
        <v>1</v>
      </c>
      <c r="L186" t="s">
        <v>22</v>
      </c>
      <c r="M186">
        <f t="shared" si="10"/>
        <v>10916</v>
      </c>
      <c r="N186">
        <f t="shared" si="11"/>
        <v>4156</v>
      </c>
      <c r="O186">
        <f t="shared" si="12"/>
        <v>5205</v>
      </c>
      <c r="P186">
        <f t="shared" si="13"/>
        <v>6980</v>
      </c>
      <c r="Q186" s="1" t="str">
        <f t="shared" si="14"/>
        <v>Very High</v>
      </c>
    </row>
    <row r="187" spans="1:17">
      <c r="A187" t="s">
        <v>212</v>
      </c>
      <c r="B187" t="s">
        <v>18</v>
      </c>
      <c r="C187" t="s">
        <v>19</v>
      </c>
      <c r="D187">
        <v>0</v>
      </c>
      <c r="E187" t="s">
        <v>27</v>
      </c>
      <c r="F187" t="s">
        <v>21</v>
      </c>
      <c r="G187">
        <v>4483</v>
      </c>
      <c r="H187">
        <v>0</v>
      </c>
      <c r="I187">
        <v>135</v>
      </c>
      <c r="J187">
        <v>360</v>
      </c>
      <c r="L187" t="s">
        <v>31</v>
      </c>
      <c r="M187">
        <f t="shared" si="10"/>
        <v>4483</v>
      </c>
      <c r="N187">
        <f t="shared" si="11"/>
        <v>4156</v>
      </c>
      <c r="O187">
        <f t="shared" si="12"/>
        <v>5205</v>
      </c>
      <c r="P187">
        <f t="shared" si="13"/>
        <v>6980</v>
      </c>
      <c r="Q187" s="1" t="str">
        <f t="shared" si="14"/>
        <v>Medium</v>
      </c>
    </row>
    <row r="188" spans="1:17">
      <c r="A188" t="s">
        <v>213</v>
      </c>
      <c r="B188" t="s">
        <v>18</v>
      </c>
      <c r="C188" t="s">
        <v>19</v>
      </c>
      <c r="D188">
        <v>2</v>
      </c>
      <c r="E188" t="s">
        <v>27</v>
      </c>
      <c r="F188" t="s">
        <v>21</v>
      </c>
      <c r="G188">
        <v>4521</v>
      </c>
      <c r="H188">
        <v>1184</v>
      </c>
      <c r="I188">
        <v>150</v>
      </c>
      <c r="J188">
        <v>360</v>
      </c>
      <c r="K188">
        <v>1</v>
      </c>
      <c r="L188" t="s">
        <v>31</v>
      </c>
      <c r="M188">
        <f t="shared" si="10"/>
        <v>5705</v>
      </c>
      <c r="N188">
        <f t="shared" si="11"/>
        <v>4156</v>
      </c>
      <c r="O188">
        <f t="shared" si="12"/>
        <v>5205</v>
      </c>
      <c r="P188">
        <f t="shared" si="13"/>
        <v>6980</v>
      </c>
      <c r="Q188" s="1" t="str">
        <f t="shared" si="14"/>
        <v>High</v>
      </c>
    </row>
    <row r="189" spans="1:17">
      <c r="A189" t="s">
        <v>214</v>
      </c>
      <c r="B189" t="s">
        <v>18</v>
      </c>
      <c r="C189" t="s">
        <v>19</v>
      </c>
      <c r="D189">
        <v>2</v>
      </c>
      <c r="E189" t="s">
        <v>20</v>
      </c>
      <c r="F189" t="s">
        <v>21</v>
      </c>
      <c r="G189">
        <v>9167</v>
      </c>
      <c r="H189">
        <v>0</v>
      </c>
      <c r="I189">
        <v>235</v>
      </c>
      <c r="J189">
        <v>360</v>
      </c>
      <c r="K189">
        <v>1</v>
      </c>
      <c r="L189" t="s">
        <v>31</v>
      </c>
      <c r="M189">
        <f t="shared" si="10"/>
        <v>9167</v>
      </c>
      <c r="N189">
        <f t="shared" si="11"/>
        <v>4156</v>
      </c>
      <c r="O189">
        <f t="shared" si="12"/>
        <v>5205</v>
      </c>
      <c r="P189">
        <f t="shared" si="13"/>
        <v>6980</v>
      </c>
      <c r="Q189" s="1" t="str">
        <f t="shared" si="14"/>
        <v>Very High</v>
      </c>
    </row>
    <row r="190" spans="1:17">
      <c r="A190" t="s">
        <v>215</v>
      </c>
      <c r="B190" t="s">
        <v>18</v>
      </c>
      <c r="C190" t="s">
        <v>19</v>
      </c>
      <c r="D190">
        <v>0</v>
      </c>
      <c r="E190" t="s">
        <v>27</v>
      </c>
      <c r="F190" t="s">
        <v>21</v>
      </c>
      <c r="G190">
        <v>13083</v>
      </c>
      <c r="H190">
        <v>0</v>
      </c>
      <c r="J190">
        <v>360</v>
      </c>
      <c r="K190">
        <v>1</v>
      </c>
      <c r="L190" t="s">
        <v>33</v>
      </c>
      <c r="M190">
        <f t="shared" si="10"/>
        <v>13083</v>
      </c>
      <c r="N190">
        <f t="shared" si="11"/>
        <v>4156</v>
      </c>
      <c r="O190">
        <f t="shared" si="12"/>
        <v>5205</v>
      </c>
      <c r="P190">
        <f t="shared" si="13"/>
        <v>6980</v>
      </c>
      <c r="Q190" s="1" t="str">
        <f t="shared" si="14"/>
        <v>Very High</v>
      </c>
    </row>
    <row r="191" spans="1:17">
      <c r="A191" t="s">
        <v>216</v>
      </c>
      <c r="B191" t="s">
        <v>18</v>
      </c>
      <c r="C191" t="s">
        <v>19</v>
      </c>
      <c r="D191">
        <v>2</v>
      </c>
      <c r="E191" t="s">
        <v>20</v>
      </c>
      <c r="F191" t="s">
        <v>21</v>
      </c>
      <c r="G191">
        <v>7874</v>
      </c>
      <c r="H191">
        <v>3967</v>
      </c>
      <c r="I191">
        <v>336</v>
      </c>
      <c r="J191">
        <v>360</v>
      </c>
      <c r="K191">
        <v>1</v>
      </c>
      <c r="L191" t="s">
        <v>33</v>
      </c>
      <c r="M191">
        <f t="shared" si="10"/>
        <v>11841</v>
      </c>
      <c r="N191">
        <f t="shared" si="11"/>
        <v>4156</v>
      </c>
      <c r="O191">
        <f t="shared" si="12"/>
        <v>5205</v>
      </c>
      <c r="P191">
        <f t="shared" si="13"/>
        <v>6980</v>
      </c>
      <c r="Q191" s="1" t="str">
        <f t="shared" si="14"/>
        <v>Very High</v>
      </c>
    </row>
    <row r="192" spans="1:17">
      <c r="A192" t="s">
        <v>217</v>
      </c>
      <c r="B192" t="s">
        <v>30</v>
      </c>
      <c r="C192" t="s">
        <v>19</v>
      </c>
      <c r="D192">
        <v>1</v>
      </c>
      <c r="E192" t="s">
        <v>20</v>
      </c>
      <c r="F192" t="s">
        <v>21</v>
      </c>
      <c r="G192">
        <v>4333</v>
      </c>
      <c r="H192">
        <v>0</v>
      </c>
      <c r="I192">
        <v>132</v>
      </c>
      <c r="J192">
        <v>84</v>
      </c>
      <c r="K192">
        <v>1</v>
      </c>
      <c r="L192" t="s">
        <v>33</v>
      </c>
      <c r="M192">
        <f t="shared" si="10"/>
        <v>4333</v>
      </c>
      <c r="N192">
        <f t="shared" si="11"/>
        <v>4156</v>
      </c>
      <c r="O192">
        <f t="shared" si="12"/>
        <v>5205</v>
      </c>
      <c r="P192">
        <f t="shared" si="13"/>
        <v>6980</v>
      </c>
      <c r="Q192" s="1" t="str">
        <f t="shared" si="14"/>
        <v>Medium</v>
      </c>
    </row>
    <row r="193" spans="1:17">
      <c r="A193" t="s">
        <v>218</v>
      </c>
      <c r="B193" t="s">
        <v>18</v>
      </c>
      <c r="C193" t="s">
        <v>21</v>
      </c>
      <c r="D193">
        <v>0</v>
      </c>
      <c r="E193" t="s">
        <v>20</v>
      </c>
      <c r="F193" t="s">
        <v>21</v>
      </c>
      <c r="G193">
        <v>4083</v>
      </c>
      <c r="H193">
        <v>0</v>
      </c>
      <c r="I193">
        <v>96</v>
      </c>
      <c r="J193">
        <v>360</v>
      </c>
      <c r="K193">
        <v>1</v>
      </c>
      <c r="L193" t="s">
        <v>22</v>
      </c>
      <c r="M193">
        <f t="shared" si="10"/>
        <v>4083</v>
      </c>
      <c r="N193">
        <f t="shared" si="11"/>
        <v>4156</v>
      </c>
      <c r="O193">
        <f t="shared" si="12"/>
        <v>5205</v>
      </c>
      <c r="P193">
        <f t="shared" si="13"/>
        <v>6980</v>
      </c>
      <c r="Q193" s="1" t="str">
        <f t="shared" si="14"/>
        <v>Low</v>
      </c>
    </row>
    <row r="194" spans="1:17">
      <c r="A194" t="s">
        <v>219</v>
      </c>
      <c r="B194" t="s">
        <v>18</v>
      </c>
      <c r="C194" t="s">
        <v>19</v>
      </c>
      <c r="D194">
        <v>2</v>
      </c>
      <c r="E194" t="s">
        <v>27</v>
      </c>
      <c r="F194" t="s">
        <v>35</v>
      </c>
      <c r="G194">
        <v>3785</v>
      </c>
      <c r="H194">
        <v>2912</v>
      </c>
      <c r="I194">
        <v>180</v>
      </c>
      <c r="J194">
        <v>360</v>
      </c>
      <c r="K194">
        <v>0</v>
      </c>
      <c r="L194" t="s">
        <v>33</v>
      </c>
      <c r="M194">
        <f t="shared" ref="M194:M257" si="15">G194 + H194</f>
        <v>6697</v>
      </c>
      <c r="N194">
        <f t="shared" ref="N194:N257" si="16">PERCENTILE(M:M,0.25)</f>
        <v>4156</v>
      </c>
      <c r="O194">
        <f t="shared" ref="O194:O257" si="17">PERCENTILE(M:M,0.5)</f>
        <v>5205</v>
      </c>
      <c r="P194">
        <f t="shared" ref="P194:P257" si="18">PERCENTILE(M:M,0.75)</f>
        <v>6980</v>
      </c>
      <c r="Q194" s="1" t="str">
        <f t="shared" ref="Q194:Q257" si="19">IF(M194&lt;$N$2,"Low",IF(M194&lt;$O$2,"Medium",IF(M194&lt;$P$2,"High","Very High")))</f>
        <v>High</v>
      </c>
    </row>
    <row r="195" spans="1:17">
      <c r="A195" t="s">
        <v>220</v>
      </c>
      <c r="B195" t="s">
        <v>18</v>
      </c>
      <c r="C195" t="s">
        <v>19</v>
      </c>
      <c r="D195">
        <v>3</v>
      </c>
      <c r="E195" t="s">
        <v>27</v>
      </c>
      <c r="F195" t="s">
        <v>21</v>
      </c>
      <c r="G195">
        <v>2654</v>
      </c>
      <c r="H195">
        <v>1998</v>
      </c>
      <c r="I195">
        <v>128</v>
      </c>
      <c r="J195">
        <v>360</v>
      </c>
      <c r="K195">
        <v>0</v>
      </c>
      <c r="L195" t="s">
        <v>33</v>
      </c>
      <c r="M195">
        <f t="shared" si="15"/>
        <v>4652</v>
      </c>
      <c r="N195">
        <f t="shared" si="16"/>
        <v>4156</v>
      </c>
      <c r="O195">
        <f t="shared" si="17"/>
        <v>5205</v>
      </c>
      <c r="P195">
        <f t="shared" si="18"/>
        <v>6980</v>
      </c>
      <c r="Q195" s="1" t="str">
        <f t="shared" si="19"/>
        <v>Medium</v>
      </c>
    </row>
    <row r="196" spans="1:17">
      <c r="A196" t="s">
        <v>221</v>
      </c>
      <c r="B196" t="s">
        <v>18</v>
      </c>
      <c r="C196" t="s">
        <v>19</v>
      </c>
      <c r="D196">
        <v>1</v>
      </c>
      <c r="E196" t="s">
        <v>20</v>
      </c>
      <c r="F196" t="s">
        <v>21</v>
      </c>
      <c r="G196">
        <v>10000</v>
      </c>
      <c r="H196">
        <v>2690</v>
      </c>
      <c r="I196">
        <v>412</v>
      </c>
      <c r="J196">
        <v>360</v>
      </c>
      <c r="K196">
        <v>1</v>
      </c>
      <c r="L196" t="s">
        <v>31</v>
      </c>
      <c r="M196">
        <f t="shared" si="15"/>
        <v>12690</v>
      </c>
      <c r="N196">
        <f t="shared" si="16"/>
        <v>4156</v>
      </c>
      <c r="O196">
        <f t="shared" si="17"/>
        <v>5205</v>
      </c>
      <c r="P196">
        <f t="shared" si="18"/>
        <v>6980</v>
      </c>
      <c r="Q196" s="1" t="str">
        <f t="shared" si="19"/>
        <v>Very High</v>
      </c>
    </row>
    <row r="197" spans="1:17">
      <c r="A197" t="s">
        <v>222</v>
      </c>
      <c r="B197" t="s">
        <v>18</v>
      </c>
      <c r="C197" t="s">
        <v>21</v>
      </c>
      <c r="D197">
        <v>0</v>
      </c>
      <c r="E197" t="s">
        <v>20</v>
      </c>
      <c r="F197" t="s">
        <v>19</v>
      </c>
      <c r="G197">
        <v>5833</v>
      </c>
      <c r="H197">
        <v>0</v>
      </c>
      <c r="I197">
        <v>116</v>
      </c>
      <c r="J197">
        <v>360</v>
      </c>
      <c r="K197">
        <v>1</v>
      </c>
      <c r="L197" t="s">
        <v>22</v>
      </c>
      <c r="M197">
        <f t="shared" si="15"/>
        <v>5833</v>
      </c>
      <c r="N197">
        <f t="shared" si="16"/>
        <v>4156</v>
      </c>
      <c r="O197">
        <f t="shared" si="17"/>
        <v>5205</v>
      </c>
      <c r="P197">
        <f t="shared" si="18"/>
        <v>6980</v>
      </c>
      <c r="Q197" s="1" t="str">
        <f t="shared" si="19"/>
        <v>High</v>
      </c>
    </row>
    <row r="198" spans="1:17">
      <c r="A198" t="s">
        <v>223</v>
      </c>
      <c r="B198" t="s">
        <v>18</v>
      </c>
      <c r="C198" t="s">
        <v>19</v>
      </c>
      <c r="D198">
        <v>1</v>
      </c>
      <c r="E198" t="s">
        <v>20</v>
      </c>
      <c r="F198" t="s">
        <v>21</v>
      </c>
      <c r="G198">
        <v>4796</v>
      </c>
      <c r="H198">
        <v>0</v>
      </c>
      <c r="I198">
        <v>114</v>
      </c>
      <c r="J198">
        <v>360</v>
      </c>
      <c r="K198">
        <v>0</v>
      </c>
      <c r="L198" t="s">
        <v>31</v>
      </c>
      <c r="M198">
        <f t="shared" si="15"/>
        <v>4796</v>
      </c>
      <c r="N198">
        <f t="shared" si="16"/>
        <v>4156</v>
      </c>
      <c r="O198">
        <f t="shared" si="17"/>
        <v>5205</v>
      </c>
      <c r="P198">
        <f t="shared" si="18"/>
        <v>6980</v>
      </c>
      <c r="Q198" s="1" t="str">
        <f t="shared" si="19"/>
        <v>Medium</v>
      </c>
    </row>
    <row r="199" spans="1:17">
      <c r="A199" t="s">
        <v>224</v>
      </c>
      <c r="B199" t="s">
        <v>18</v>
      </c>
      <c r="C199" t="s">
        <v>19</v>
      </c>
      <c r="D199">
        <v>0</v>
      </c>
      <c r="E199" t="s">
        <v>27</v>
      </c>
      <c r="F199" t="s">
        <v>21</v>
      </c>
      <c r="G199">
        <v>2000</v>
      </c>
      <c r="H199">
        <v>1600</v>
      </c>
      <c r="I199">
        <v>115</v>
      </c>
      <c r="J199">
        <v>360</v>
      </c>
      <c r="K199">
        <v>1</v>
      </c>
      <c r="L199" t="s">
        <v>33</v>
      </c>
      <c r="M199">
        <f t="shared" si="15"/>
        <v>3600</v>
      </c>
      <c r="N199">
        <f t="shared" si="16"/>
        <v>4156</v>
      </c>
      <c r="O199">
        <f t="shared" si="17"/>
        <v>5205</v>
      </c>
      <c r="P199">
        <f t="shared" si="18"/>
        <v>6980</v>
      </c>
      <c r="Q199" s="1" t="str">
        <f t="shared" si="19"/>
        <v>Low</v>
      </c>
    </row>
    <row r="200" spans="1:17">
      <c r="A200" t="s">
        <v>225</v>
      </c>
      <c r="B200" t="s">
        <v>18</v>
      </c>
      <c r="C200" t="s">
        <v>19</v>
      </c>
      <c r="D200">
        <v>2</v>
      </c>
      <c r="E200" t="s">
        <v>20</v>
      </c>
      <c r="F200" t="s">
        <v>21</v>
      </c>
      <c r="G200">
        <v>2540</v>
      </c>
      <c r="H200">
        <v>700</v>
      </c>
      <c r="I200">
        <v>104</v>
      </c>
      <c r="J200">
        <v>360</v>
      </c>
      <c r="K200">
        <v>0</v>
      </c>
      <c r="L200" t="s">
        <v>22</v>
      </c>
      <c r="M200">
        <f t="shared" si="15"/>
        <v>3240</v>
      </c>
      <c r="N200">
        <f t="shared" si="16"/>
        <v>4156</v>
      </c>
      <c r="O200">
        <f t="shared" si="17"/>
        <v>5205</v>
      </c>
      <c r="P200">
        <f t="shared" si="18"/>
        <v>6980</v>
      </c>
      <c r="Q200" s="1" t="str">
        <f t="shared" si="19"/>
        <v>Low</v>
      </c>
    </row>
    <row r="201" spans="1:17">
      <c r="A201" t="s">
        <v>226</v>
      </c>
      <c r="B201" t="s">
        <v>18</v>
      </c>
      <c r="C201" t="s">
        <v>19</v>
      </c>
      <c r="D201">
        <v>0</v>
      </c>
      <c r="E201" t="s">
        <v>20</v>
      </c>
      <c r="F201" t="s">
        <v>19</v>
      </c>
      <c r="G201">
        <v>1900</v>
      </c>
      <c r="H201">
        <v>1442</v>
      </c>
      <c r="I201">
        <v>88</v>
      </c>
      <c r="J201">
        <v>360</v>
      </c>
      <c r="K201">
        <v>1</v>
      </c>
      <c r="L201" t="s">
        <v>33</v>
      </c>
      <c r="M201">
        <f t="shared" si="15"/>
        <v>3342</v>
      </c>
      <c r="N201">
        <f t="shared" si="16"/>
        <v>4156</v>
      </c>
      <c r="O201">
        <f t="shared" si="17"/>
        <v>5205</v>
      </c>
      <c r="P201">
        <f t="shared" si="18"/>
        <v>6980</v>
      </c>
      <c r="Q201" s="1" t="str">
        <f t="shared" si="19"/>
        <v>Low</v>
      </c>
    </row>
    <row r="202" spans="1:17">
      <c r="A202" t="s">
        <v>227</v>
      </c>
      <c r="B202" t="s">
        <v>18</v>
      </c>
      <c r="C202" t="s">
        <v>19</v>
      </c>
      <c r="D202">
        <v>0</v>
      </c>
      <c r="E202" t="s">
        <v>20</v>
      </c>
      <c r="F202" t="s">
        <v>19</v>
      </c>
      <c r="G202">
        <v>8706</v>
      </c>
      <c r="H202">
        <v>0</v>
      </c>
      <c r="I202">
        <v>108</v>
      </c>
      <c r="J202">
        <v>480</v>
      </c>
      <c r="K202">
        <v>1</v>
      </c>
      <c r="L202" t="s">
        <v>33</v>
      </c>
      <c r="M202">
        <f t="shared" si="15"/>
        <v>8706</v>
      </c>
      <c r="N202">
        <f t="shared" si="16"/>
        <v>4156</v>
      </c>
      <c r="O202">
        <f t="shared" si="17"/>
        <v>5205</v>
      </c>
      <c r="P202">
        <f t="shared" si="18"/>
        <v>6980</v>
      </c>
      <c r="Q202" s="1" t="str">
        <f t="shared" si="19"/>
        <v>Very High</v>
      </c>
    </row>
    <row r="203" spans="1:17">
      <c r="A203" t="s">
        <v>228</v>
      </c>
      <c r="B203" t="s">
        <v>18</v>
      </c>
      <c r="C203" t="s">
        <v>19</v>
      </c>
      <c r="D203">
        <v>3</v>
      </c>
      <c r="E203" t="s">
        <v>27</v>
      </c>
      <c r="F203" t="s">
        <v>21</v>
      </c>
      <c r="G203">
        <v>2855</v>
      </c>
      <c r="H203">
        <v>542</v>
      </c>
      <c r="I203">
        <v>90</v>
      </c>
      <c r="J203">
        <v>360</v>
      </c>
      <c r="K203">
        <v>1</v>
      </c>
      <c r="L203" t="s">
        <v>22</v>
      </c>
      <c r="M203">
        <f t="shared" si="15"/>
        <v>3397</v>
      </c>
      <c r="N203">
        <f t="shared" si="16"/>
        <v>4156</v>
      </c>
      <c r="O203">
        <f t="shared" si="17"/>
        <v>5205</v>
      </c>
      <c r="P203">
        <f t="shared" si="18"/>
        <v>6980</v>
      </c>
      <c r="Q203" s="1" t="str">
        <f t="shared" si="19"/>
        <v>Low</v>
      </c>
    </row>
    <row r="204" spans="1:17">
      <c r="A204" t="s">
        <v>229</v>
      </c>
      <c r="B204" t="s">
        <v>18</v>
      </c>
      <c r="C204" t="s">
        <v>19</v>
      </c>
      <c r="E204" t="s">
        <v>20</v>
      </c>
      <c r="F204" t="s">
        <v>21</v>
      </c>
      <c r="G204">
        <v>3016</v>
      </c>
      <c r="H204">
        <v>1300</v>
      </c>
      <c r="I204">
        <v>100</v>
      </c>
      <c r="J204">
        <v>360</v>
      </c>
      <c r="L204" t="s">
        <v>22</v>
      </c>
      <c r="M204">
        <f t="shared" si="15"/>
        <v>4316</v>
      </c>
      <c r="N204">
        <f t="shared" si="16"/>
        <v>4156</v>
      </c>
      <c r="O204">
        <f t="shared" si="17"/>
        <v>5205</v>
      </c>
      <c r="P204">
        <f t="shared" si="18"/>
        <v>6980</v>
      </c>
      <c r="Q204" s="1" t="str">
        <f t="shared" si="19"/>
        <v>Medium</v>
      </c>
    </row>
    <row r="205" spans="1:17">
      <c r="A205" t="s">
        <v>230</v>
      </c>
      <c r="B205" t="s">
        <v>30</v>
      </c>
      <c r="C205" t="s">
        <v>19</v>
      </c>
      <c r="D205">
        <v>0</v>
      </c>
      <c r="E205" t="s">
        <v>20</v>
      </c>
      <c r="F205" t="s">
        <v>21</v>
      </c>
      <c r="G205">
        <v>3159</v>
      </c>
      <c r="H205">
        <v>2374</v>
      </c>
      <c r="I205">
        <v>108</v>
      </c>
      <c r="J205">
        <v>360</v>
      </c>
      <c r="K205">
        <v>1</v>
      </c>
      <c r="L205" t="s">
        <v>31</v>
      </c>
      <c r="M205">
        <f t="shared" si="15"/>
        <v>5533</v>
      </c>
      <c r="N205">
        <f t="shared" si="16"/>
        <v>4156</v>
      </c>
      <c r="O205">
        <f t="shared" si="17"/>
        <v>5205</v>
      </c>
      <c r="P205">
        <f t="shared" si="18"/>
        <v>6980</v>
      </c>
      <c r="Q205" s="1" t="str">
        <f t="shared" si="19"/>
        <v>High</v>
      </c>
    </row>
    <row r="206" spans="1:17">
      <c r="A206" t="s">
        <v>231</v>
      </c>
      <c r="B206" t="s">
        <v>30</v>
      </c>
      <c r="C206" t="s">
        <v>21</v>
      </c>
      <c r="D206">
        <v>0</v>
      </c>
      <c r="E206" t="s">
        <v>20</v>
      </c>
      <c r="F206" t="s">
        <v>21</v>
      </c>
      <c r="G206">
        <v>1937</v>
      </c>
      <c r="H206">
        <v>1152</v>
      </c>
      <c r="I206">
        <v>78</v>
      </c>
      <c r="J206">
        <v>360</v>
      </c>
      <c r="K206">
        <v>1</v>
      </c>
      <c r="L206" t="s">
        <v>31</v>
      </c>
      <c r="M206">
        <f t="shared" si="15"/>
        <v>3089</v>
      </c>
      <c r="N206">
        <f t="shared" si="16"/>
        <v>4156</v>
      </c>
      <c r="O206">
        <f t="shared" si="17"/>
        <v>5205</v>
      </c>
      <c r="P206">
        <f t="shared" si="18"/>
        <v>6980</v>
      </c>
      <c r="Q206" s="1" t="str">
        <f t="shared" si="19"/>
        <v>Low</v>
      </c>
    </row>
    <row r="207" spans="1:17">
      <c r="A207" t="s">
        <v>232</v>
      </c>
      <c r="B207" t="s">
        <v>18</v>
      </c>
      <c r="C207" t="s">
        <v>19</v>
      </c>
      <c r="D207">
        <v>0</v>
      </c>
      <c r="E207" t="s">
        <v>20</v>
      </c>
      <c r="F207" t="s">
        <v>21</v>
      </c>
      <c r="G207">
        <v>2613</v>
      </c>
      <c r="H207">
        <v>2417</v>
      </c>
      <c r="I207">
        <v>123</v>
      </c>
      <c r="J207">
        <v>360</v>
      </c>
      <c r="K207">
        <v>1</v>
      </c>
      <c r="L207" t="s">
        <v>31</v>
      </c>
      <c r="M207">
        <f t="shared" si="15"/>
        <v>5030</v>
      </c>
      <c r="N207">
        <f t="shared" si="16"/>
        <v>4156</v>
      </c>
      <c r="O207">
        <f t="shared" si="17"/>
        <v>5205</v>
      </c>
      <c r="P207">
        <f t="shared" si="18"/>
        <v>6980</v>
      </c>
      <c r="Q207" s="1" t="str">
        <f t="shared" si="19"/>
        <v>Medium</v>
      </c>
    </row>
    <row r="208" spans="1:17">
      <c r="A208" t="s">
        <v>233</v>
      </c>
      <c r="B208" t="s">
        <v>18</v>
      </c>
      <c r="C208" t="s">
        <v>19</v>
      </c>
      <c r="D208">
        <v>1</v>
      </c>
      <c r="E208" t="s">
        <v>20</v>
      </c>
      <c r="F208" t="s">
        <v>21</v>
      </c>
      <c r="G208">
        <v>4960</v>
      </c>
      <c r="H208">
        <v>2600</v>
      </c>
      <c r="I208">
        <v>187</v>
      </c>
      <c r="J208">
        <v>360</v>
      </c>
      <c r="K208">
        <v>1</v>
      </c>
      <c r="L208" t="s">
        <v>31</v>
      </c>
      <c r="M208">
        <f t="shared" si="15"/>
        <v>7560</v>
      </c>
      <c r="N208">
        <f t="shared" si="16"/>
        <v>4156</v>
      </c>
      <c r="O208">
        <f t="shared" si="17"/>
        <v>5205</v>
      </c>
      <c r="P208">
        <f t="shared" si="18"/>
        <v>6980</v>
      </c>
      <c r="Q208" s="1" t="str">
        <f t="shared" si="19"/>
        <v>Very High</v>
      </c>
    </row>
    <row r="209" spans="1:17">
      <c r="A209" t="s">
        <v>234</v>
      </c>
      <c r="B209" t="s">
        <v>18</v>
      </c>
      <c r="C209" t="s">
        <v>19</v>
      </c>
      <c r="D209">
        <v>1</v>
      </c>
      <c r="E209" t="s">
        <v>20</v>
      </c>
      <c r="F209" t="s">
        <v>21</v>
      </c>
      <c r="G209">
        <v>3074</v>
      </c>
      <c r="H209">
        <v>1083</v>
      </c>
      <c r="I209">
        <v>146</v>
      </c>
      <c r="J209">
        <v>360</v>
      </c>
      <c r="K209">
        <v>1</v>
      </c>
      <c r="L209" t="s">
        <v>31</v>
      </c>
      <c r="M209">
        <f t="shared" si="15"/>
        <v>4157</v>
      </c>
      <c r="N209">
        <f t="shared" si="16"/>
        <v>4156</v>
      </c>
      <c r="O209">
        <f t="shared" si="17"/>
        <v>5205</v>
      </c>
      <c r="P209">
        <f t="shared" si="18"/>
        <v>6980</v>
      </c>
      <c r="Q209" s="1" t="str">
        <f t="shared" si="19"/>
        <v>Medium</v>
      </c>
    </row>
    <row r="210" spans="1:17">
      <c r="A210" t="s">
        <v>235</v>
      </c>
      <c r="B210" t="s">
        <v>30</v>
      </c>
      <c r="C210" t="s">
        <v>21</v>
      </c>
      <c r="D210">
        <v>0</v>
      </c>
      <c r="E210" t="s">
        <v>20</v>
      </c>
      <c r="F210" t="s">
        <v>21</v>
      </c>
      <c r="G210">
        <v>4213</v>
      </c>
      <c r="H210">
        <v>0</v>
      </c>
      <c r="I210">
        <v>80</v>
      </c>
      <c r="J210">
        <v>360</v>
      </c>
      <c r="K210">
        <v>1</v>
      </c>
      <c r="L210" t="s">
        <v>22</v>
      </c>
      <c r="M210">
        <f t="shared" si="15"/>
        <v>4213</v>
      </c>
      <c r="N210">
        <f t="shared" si="16"/>
        <v>4156</v>
      </c>
      <c r="O210">
        <f t="shared" si="17"/>
        <v>5205</v>
      </c>
      <c r="P210">
        <f t="shared" si="18"/>
        <v>6980</v>
      </c>
      <c r="Q210" s="1" t="str">
        <f t="shared" si="19"/>
        <v>Medium</v>
      </c>
    </row>
    <row r="211" spans="1:17">
      <c r="A211" t="s">
        <v>236</v>
      </c>
      <c r="B211" t="s">
        <v>35</v>
      </c>
      <c r="C211" t="s">
        <v>21</v>
      </c>
      <c r="D211">
        <v>1</v>
      </c>
      <c r="E211" t="s">
        <v>27</v>
      </c>
      <c r="F211" t="s">
        <v>21</v>
      </c>
      <c r="G211">
        <v>2038</v>
      </c>
      <c r="H211">
        <v>4027</v>
      </c>
      <c r="I211">
        <v>100</v>
      </c>
      <c r="J211">
        <v>360</v>
      </c>
      <c r="K211">
        <v>1</v>
      </c>
      <c r="L211" t="s">
        <v>33</v>
      </c>
      <c r="M211">
        <f t="shared" si="15"/>
        <v>6065</v>
      </c>
      <c r="N211">
        <f t="shared" si="16"/>
        <v>4156</v>
      </c>
      <c r="O211">
        <f t="shared" si="17"/>
        <v>5205</v>
      </c>
      <c r="P211">
        <f t="shared" si="18"/>
        <v>6980</v>
      </c>
      <c r="Q211" s="1" t="str">
        <f t="shared" si="19"/>
        <v>High</v>
      </c>
    </row>
    <row r="212" spans="1:17">
      <c r="A212" t="s">
        <v>237</v>
      </c>
      <c r="B212" t="s">
        <v>30</v>
      </c>
      <c r="C212" t="s">
        <v>21</v>
      </c>
      <c r="D212">
        <v>0</v>
      </c>
      <c r="E212" t="s">
        <v>20</v>
      </c>
      <c r="F212" t="s">
        <v>21</v>
      </c>
      <c r="G212">
        <v>2362</v>
      </c>
      <c r="H212">
        <v>0</v>
      </c>
      <c r="I212">
        <v>55</v>
      </c>
      <c r="J212">
        <v>360</v>
      </c>
      <c r="K212">
        <v>1</v>
      </c>
      <c r="L212" t="s">
        <v>22</v>
      </c>
      <c r="M212">
        <f t="shared" si="15"/>
        <v>2362</v>
      </c>
      <c r="N212">
        <f t="shared" si="16"/>
        <v>4156</v>
      </c>
      <c r="O212">
        <f t="shared" si="17"/>
        <v>5205</v>
      </c>
      <c r="P212">
        <f t="shared" si="18"/>
        <v>6980</v>
      </c>
      <c r="Q212" s="1" t="str">
        <f t="shared" si="19"/>
        <v>Low</v>
      </c>
    </row>
    <row r="213" spans="1:17">
      <c r="A213" t="s">
        <v>238</v>
      </c>
      <c r="B213" t="s">
        <v>18</v>
      </c>
      <c r="C213" t="s">
        <v>21</v>
      </c>
      <c r="D213">
        <v>0</v>
      </c>
      <c r="E213" t="s">
        <v>20</v>
      </c>
      <c r="F213" t="s">
        <v>21</v>
      </c>
      <c r="G213">
        <v>5333</v>
      </c>
      <c r="H213">
        <v>2400</v>
      </c>
      <c r="I213">
        <v>200</v>
      </c>
      <c r="J213">
        <v>360</v>
      </c>
      <c r="K213">
        <v>0</v>
      </c>
      <c r="L213" t="s">
        <v>33</v>
      </c>
      <c r="M213">
        <f t="shared" si="15"/>
        <v>7733</v>
      </c>
      <c r="N213">
        <f t="shared" si="16"/>
        <v>4156</v>
      </c>
      <c r="O213">
        <f t="shared" si="17"/>
        <v>5205</v>
      </c>
      <c r="P213">
        <f t="shared" si="18"/>
        <v>6980</v>
      </c>
      <c r="Q213" s="1" t="str">
        <f t="shared" si="19"/>
        <v>Very High</v>
      </c>
    </row>
    <row r="214" spans="1:17">
      <c r="A214" t="s">
        <v>239</v>
      </c>
      <c r="B214" t="s">
        <v>18</v>
      </c>
      <c r="C214" t="s">
        <v>19</v>
      </c>
      <c r="D214">
        <v>3</v>
      </c>
      <c r="E214" t="s">
        <v>20</v>
      </c>
      <c r="F214" t="s">
        <v>19</v>
      </c>
      <c r="G214">
        <v>5384</v>
      </c>
      <c r="H214">
        <v>0</v>
      </c>
      <c r="I214">
        <v>150</v>
      </c>
      <c r="J214">
        <v>360</v>
      </c>
      <c r="K214">
        <v>1</v>
      </c>
      <c r="L214" t="s">
        <v>31</v>
      </c>
      <c r="M214">
        <f t="shared" si="15"/>
        <v>5384</v>
      </c>
      <c r="N214">
        <f t="shared" si="16"/>
        <v>4156</v>
      </c>
      <c r="O214">
        <f t="shared" si="17"/>
        <v>5205</v>
      </c>
      <c r="P214">
        <f t="shared" si="18"/>
        <v>6980</v>
      </c>
      <c r="Q214" s="1" t="str">
        <f t="shared" si="19"/>
        <v>High</v>
      </c>
    </row>
    <row r="215" spans="1:17">
      <c r="A215" t="s">
        <v>240</v>
      </c>
      <c r="B215" t="s">
        <v>18</v>
      </c>
      <c r="C215" t="s">
        <v>21</v>
      </c>
      <c r="D215">
        <v>0</v>
      </c>
      <c r="E215" t="s">
        <v>20</v>
      </c>
      <c r="F215" t="s">
        <v>21</v>
      </c>
      <c r="G215">
        <v>5708</v>
      </c>
      <c r="H215">
        <v>0</v>
      </c>
      <c r="I215">
        <v>150</v>
      </c>
      <c r="J215">
        <v>360</v>
      </c>
      <c r="K215">
        <v>1</v>
      </c>
      <c r="L215" t="s">
        <v>33</v>
      </c>
      <c r="M215">
        <f t="shared" si="15"/>
        <v>5708</v>
      </c>
      <c r="N215">
        <f t="shared" si="16"/>
        <v>4156</v>
      </c>
      <c r="O215">
        <f t="shared" si="17"/>
        <v>5205</v>
      </c>
      <c r="P215">
        <f t="shared" si="18"/>
        <v>6980</v>
      </c>
      <c r="Q215" s="1" t="str">
        <f t="shared" si="19"/>
        <v>High</v>
      </c>
    </row>
    <row r="216" spans="1:17">
      <c r="A216" t="s">
        <v>241</v>
      </c>
      <c r="B216" t="s">
        <v>18</v>
      </c>
      <c r="C216" t="s">
        <v>19</v>
      </c>
      <c r="D216">
        <v>0</v>
      </c>
      <c r="E216" t="s">
        <v>27</v>
      </c>
      <c r="F216" t="s">
        <v>21</v>
      </c>
      <c r="G216">
        <v>3754</v>
      </c>
      <c r="H216">
        <v>3719</v>
      </c>
      <c r="I216">
        <v>118</v>
      </c>
      <c r="K216">
        <v>1</v>
      </c>
      <c r="L216" t="s">
        <v>33</v>
      </c>
      <c r="M216">
        <f t="shared" si="15"/>
        <v>7473</v>
      </c>
      <c r="N216">
        <f t="shared" si="16"/>
        <v>4156</v>
      </c>
      <c r="O216">
        <f t="shared" si="17"/>
        <v>5205</v>
      </c>
      <c r="P216">
        <f t="shared" si="18"/>
        <v>6980</v>
      </c>
      <c r="Q216" s="1" t="str">
        <f t="shared" si="19"/>
        <v>Very High</v>
      </c>
    </row>
    <row r="217" spans="1:17">
      <c r="A217" t="s">
        <v>242</v>
      </c>
      <c r="B217" t="s">
        <v>18</v>
      </c>
      <c r="C217" t="s">
        <v>19</v>
      </c>
      <c r="D217">
        <v>0</v>
      </c>
      <c r="E217" t="s">
        <v>27</v>
      </c>
      <c r="F217" t="s">
        <v>21</v>
      </c>
      <c r="G217">
        <v>2914</v>
      </c>
      <c r="H217">
        <v>2130</v>
      </c>
      <c r="I217">
        <v>150</v>
      </c>
      <c r="J217">
        <v>300</v>
      </c>
      <c r="K217">
        <v>1</v>
      </c>
      <c r="L217" t="s">
        <v>22</v>
      </c>
      <c r="M217">
        <f t="shared" si="15"/>
        <v>5044</v>
      </c>
      <c r="N217">
        <f t="shared" si="16"/>
        <v>4156</v>
      </c>
      <c r="O217">
        <f t="shared" si="17"/>
        <v>5205</v>
      </c>
      <c r="P217">
        <f t="shared" si="18"/>
        <v>6980</v>
      </c>
      <c r="Q217" s="1" t="str">
        <f t="shared" si="19"/>
        <v>Medium</v>
      </c>
    </row>
    <row r="218" spans="1:17">
      <c r="A218" t="s">
        <v>243</v>
      </c>
      <c r="B218" t="s">
        <v>18</v>
      </c>
      <c r="C218" t="s">
        <v>19</v>
      </c>
      <c r="D218">
        <v>0</v>
      </c>
      <c r="E218" t="s">
        <v>27</v>
      </c>
      <c r="F218" t="s">
        <v>21</v>
      </c>
      <c r="G218">
        <v>2747</v>
      </c>
      <c r="H218">
        <v>2458</v>
      </c>
      <c r="I218">
        <v>118</v>
      </c>
      <c r="J218">
        <v>36</v>
      </c>
      <c r="K218">
        <v>1</v>
      </c>
      <c r="L218" t="s">
        <v>31</v>
      </c>
      <c r="M218">
        <f t="shared" si="15"/>
        <v>5205</v>
      </c>
      <c r="N218">
        <f t="shared" si="16"/>
        <v>4156</v>
      </c>
      <c r="O218">
        <f t="shared" si="17"/>
        <v>5205</v>
      </c>
      <c r="P218">
        <f t="shared" si="18"/>
        <v>6980</v>
      </c>
      <c r="Q218" s="1" t="str">
        <f t="shared" si="19"/>
        <v>High</v>
      </c>
    </row>
    <row r="219" spans="1:17">
      <c r="A219" t="s">
        <v>244</v>
      </c>
      <c r="B219" t="s">
        <v>18</v>
      </c>
      <c r="C219" t="s">
        <v>19</v>
      </c>
      <c r="D219">
        <v>0</v>
      </c>
      <c r="E219" t="s">
        <v>20</v>
      </c>
      <c r="F219" t="s">
        <v>21</v>
      </c>
      <c r="G219">
        <v>7830</v>
      </c>
      <c r="H219">
        <v>2183</v>
      </c>
      <c r="I219">
        <v>212</v>
      </c>
      <c r="J219">
        <v>360</v>
      </c>
      <c r="K219">
        <v>1</v>
      </c>
      <c r="L219" t="s">
        <v>33</v>
      </c>
      <c r="M219">
        <f t="shared" si="15"/>
        <v>10013</v>
      </c>
      <c r="N219">
        <f t="shared" si="16"/>
        <v>4156</v>
      </c>
      <c r="O219">
        <f t="shared" si="17"/>
        <v>5205</v>
      </c>
      <c r="P219">
        <f t="shared" si="18"/>
        <v>6980</v>
      </c>
      <c r="Q219" s="1" t="str">
        <f t="shared" si="19"/>
        <v>Very High</v>
      </c>
    </row>
    <row r="220" spans="1:17">
      <c r="A220" t="s">
        <v>245</v>
      </c>
      <c r="B220" t="s">
        <v>18</v>
      </c>
      <c r="C220" t="s">
        <v>19</v>
      </c>
      <c r="D220">
        <v>1</v>
      </c>
      <c r="E220" t="s">
        <v>20</v>
      </c>
      <c r="F220" t="s">
        <v>19</v>
      </c>
      <c r="G220">
        <v>3507</v>
      </c>
      <c r="H220">
        <v>3148</v>
      </c>
      <c r="I220">
        <v>212</v>
      </c>
      <c r="J220">
        <v>360</v>
      </c>
      <c r="K220">
        <v>1</v>
      </c>
      <c r="L220" t="s">
        <v>33</v>
      </c>
      <c r="M220">
        <f t="shared" si="15"/>
        <v>6655</v>
      </c>
      <c r="N220">
        <f t="shared" si="16"/>
        <v>4156</v>
      </c>
      <c r="O220">
        <f t="shared" si="17"/>
        <v>5205</v>
      </c>
      <c r="P220">
        <f t="shared" si="18"/>
        <v>6980</v>
      </c>
      <c r="Q220" s="1" t="str">
        <f t="shared" si="19"/>
        <v>High</v>
      </c>
    </row>
    <row r="221" spans="1:17">
      <c r="A221" t="s">
        <v>246</v>
      </c>
      <c r="B221" t="s">
        <v>18</v>
      </c>
      <c r="C221" t="s">
        <v>19</v>
      </c>
      <c r="D221">
        <v>1</v>
      </c>
      <c r="E221" t="s">
        <v>20</v>
      </c>
      <c r="F221" t="s">
        <v>21</v>
      </c>
      <c r="G221">
        <v>3747</v>
      </c>
      <c r="H221">
        <v>2139</v>
      </c>
      <c r="I221">
        <v>125</v>
      </c>
      <c r="J221">
        <v>360</v>
      </c>
      <c r="K221">
        <v>1</v>
      </c>
      <c r="L221" t="s">
        <v>22</v>
      </c>
      <c r="M221">
        <f t="shared" si="15"/>
        <v>5886</v>
      </c>
      <c r="N221">
        <f t="shared" si="16"/>
        <v>4156</v>
      </c>
      <c r="O221">
        <f t="shared" si="17"/>
        <v>5205</v>
      </c>
      <c r="P221">
        <f t="shared" si="18"/>
        <v>6980</v>
      </c>
      <c r="Q221" s="1" t="str">
        <f t="shared" si="19"/>
        <v>High</v>
      </c>
    </row>
    <row r="222" spans="1:17">
      <c r="A222" t="s">
        <v>247</v>
      </c>
      <c r="B222" t="s">
        <v>18</v>
      </c>
      <c r="C222" t="s">
        <v>19</v>
      </c>
      <c r="D222">
        <v>0</v>
      </c>
      <c r="E222" t="s">
        <v>20</v>
      </c>
      <c r="F222" t="s">
        <v>21</v>
      </c>
      <c r="G222">
        <v>2166</v>
      </c>
      <c r="H222">
        <v>2166</v>
      </c>
      <c r="I222">
        <v>108</v>
      </c>
      <c r="J222">
        <v>360</v>
      </c>
      <c r="L222" t="s">
        <v>22</v>
      </c>
      <c r="M222">
        <f t="shared" si="15"/>
        <v>4332</v>
      </c>
      <c r="N222">
        <f t="shared" si="16"/>
        <v>4156</v>
      </c>
      <c r="O222">
        <f t="shared" si="17"/>
        <v>5205</v>
      </c>
      <c r="P222">
        <f t="shared" si="18"/>
        <v>6980</v>
      </c>
      <c r="Q222" s="1" t="str">
        <f t="shared" si="19"/>
        <v>Medium</v>
      </c>
    </row>
    <row r="223" spans="1:17">
      <c r="A223" t="s">
        <v>248</v>
      </c>
      <c r="B223" t="s">
        <v>18</v>
      </c>
      <c r="C223" t="s">
        <v>19</v>
      </c>
      <c r="D223">
        <v>0</v>
      </c>
      <c r="E223" t="s">
        <v>27</v>
      </c>
      <c r="F223" t="s">
        <v>21</v>
      </c>
      <c r="G223">
        <v>3500</v>
      </c>
      <c r="H223">
        <v>2168</v>
      </c>
      <c r="I223">
        <v>149</v>
      </c>
      <c r="J223">
        <v>360</v>
      </c>
      <c r="K223">
        <v>1</v>
      </c>
      <c r="L223" t="s">
        <v>33</v>
      </c>
      <c r="M223">
        <f t="shared" si="15"/>
        <v>5668</v>
      </c>
      <c r="N223">
        <f t="shared" si="16"/>
        <v>4156</v>
      </c>
      <c r="O223">
        <f t="shared" si="17"/>
        <v>5205</v>
      </c>
      <c r="P223">
        <f t="shared" si="18"/>
        <v>6980</v>
      </c>
      <c r="Q223" s="1" t="str">
        <f t="shared" si="19"/>
        <v>High</v>
      </c>
    </row>
    <row r="224" spans="1:17">
      <c r="A224" t="s">
        <v>249</v>
      </c>
      <c r="B224" t="s">
        <v>18</v>
      </c>
      <c r="C224" t="s">
        <v>19</v>
      </c>
      <c r="D224">
        <v>2</v>
      </c>
      <c r="E224" t="s">
        <v>27</v>
      </c>
      <c r="F224" t="s">
        <v>21</v>
      </c>
      <c r="G224">
        <v>2896</v>
      </c>
      <c r="H224">
        <v>0</v>
      </c>
      <c r="I224">
        <v>80</v>
      </c>
      <c r="J224">
        <v>480</v>
      </c>
      <c r="K224">
        <v>1</v>
      </c>
      <c r="L224" t="s">
        <v>22</v>
      </c>
      <c r="M224">
        <f t="shared" si="15"/>
        <v>2896</v>
      </c>
      <c r="N224">
        <f t="shared" si="16"/>
        <v>4156</v>
      </c>
      <c r="O224">
        <f t="shared" si="17"/>
        <v>5205</v>
      </c>
      <c r="P224">
        <f t="shared" si="18"/>
        <v>6980</v>
      </c>
      <c r="Q224" s="1" t="str">
        <f t="shared" si="19"/>
        <v>Low</v>
      </c>
    </row>
    <row r="225" spans="1:17">
      <c r="A225" t="s">
        <v>250</v>
      </c>
      <c r="B225" t="s">
        <v>30</v>
      </c>
      <c r="C225" t="s">
        <v>21</v>
      </c>
      <c r="D225">
        <v>1</v>
      </c>
      <c r="E225" t="s">
        <v>20</v>
      </c>
      <c r="F225" t="s">
        <v>21</v>
      </c>
      <c r="G225">
        <v>5062</v>
      </c>
      <c r="H225">
        <v>0</v>
      </c>
      <c r="I225">
        <v>152</v>
      </c>
      <c r="J225">
        <v>300</v>
      </c>
      <c r="K225">
        <v>1</v>
      </c>
      <c r="L225" t="s">
        <v>33</v>
      </c>
      <c r="M225">
        <f t="shared" si="15"/>
        <v>5062</v>
      </c>
      <c r="N225">
        <f t="shared" si="16"/>
        <v>4156</v>
      </c>
      <c r="O225">
        <f t="shared" si="17"/>
        <v>5205</v>
      </c>
      <c r="P225">
        <f t="shared" si="18"/>
        <v>6980</v>
      </c>
      <c r="Q225" s="1" t="str">
        <f t="shared" si="19"/>
        <v>Medium</v>
      </c>
    </row>
    <row r="226" spans="1:17">
      <c r="A226" t="s">
        <v>251</v>
      </c>
      <c r="B226" t="s">
        <v>30</v>
      </c>
      <c r="C226" t="s">
        <v>21</v>
      </c>
      <c r="D226">
        <v>2</v>
      </c>
      <c r="E226" t="s">
        <v>20</v>
      </c>
      <c r="F226" t="s">
        <v>19</v>
      </c>
      <c r="G226">
        <v>5184</v>
      </c>
      <c r="H226">
        <v>0</v>
      </c>
      <c r="I226">
        <v>187</v>
      </c>
      <c r="J226">
        <v>360</v>
      </c>
      <c r="K226">
        <v>0</v>
      </c>
      <c r="L226" t="s">
        <v>31</v>
      </c>
      <c r="M226">
        <f t="shared" si="15"/>
        <v>5184</v>
      </c>
      <c r="N226">
        <f t="shared" si="16"/>
        <v>4156</v>
      </c>
      <c r="O226">
        <f t="shared" si="17"/>
        <v>5205</v>
      </c>
      <c r="P226">
        <f t="shared" si="18"/>
        <v>6980</v>
      </c>
      <c r="Q226" s="1" t="str">
        <f t="shared" si="19"/>
        <v>Medium</v>
      </c>
    </row>
    <row r="227" spans="1:17">
      <c r="A227" t="s">
        <v>252</v>
      </c>
      <c r="B227" t="s">
        <v>30</v>
      </c>
      <c r="C227" t="s">
        <v>21</v>
      </c>
      <c r="D227">
        <v>0</v>
      </c>
      <c r="E227" t="s">
        <v>20</v>
      </c>
      <c r="F227" t="s">
        <v>21</v>
      </c>
      <c r="G227">
        <v>2545</v>
      </c>
      <c r="H227">
        <v>0</v>
      </c>
      <c r="I227">
        <v>74</v>
      </c>
      <c r="J227">
        <v>360</v>
      </c>
      <c r="K227">
        <v>1</v>
      </c>
      <c r="L227" t="s">
        <v>22</v>
      </c>
      <c r="M227">
        <f t="shared" si="15"/>
        <v>2545</v>
      </c>
      <c r="N227">
        <f t="shared" si="16"/>
        <v>4156</v>
      </c>
      <c r="O227">
        <f t="shared" si="17"/>
        <v>5205</v>
      </c>
      <c r="P227">
        <f t="shared" si="18"/>
        <v>6980</v>
      </c>
      <c r="Q227" s="1" t="str">
        <f t="shared" si="19"/>
        <v>Low</v>
      </c>
    </row>
    <row r="228" spans="1:17">
      <c r="A228" t="s">
        <v>253</v>
      </c>
      <c r="B228" t="s">
        <v>18</v>
      </c>
      <c r="C228" t="s">
        <v>19</v>
      </c>
      <c r="D228">
        <v>0</v>
      </c>
      <c r="E228" t="s">
        <v>20</v>
      </c>
      <c r="F228" t="s">
        <v>21</v>
      </c>
      <c r="G228">
        <v>2553</v>
      </c>
      <c r="H228">
        <v>1768</v>
      </c>
      <c r="I228">
        <v>102</v>
      </c>
      <c r="J228">
        <v>360</v>
      </c>
      <c r="K228">
        <v>1</v>
      </c>
      <c r="L228" t="s">
        <v>22</v>
      </c>
      <c r="M228">
        <f t="shared" si="15"/>
        <v>4321</v>
      </c>
      <c r="N228">
        <f t="shared" si="16"/>
        <v>4156</v>
      </c>
      <c r="O228">
        <f t="shared" si="17"/>
        <v>5205</v>
      </c>
      <c r="P228">
        <f t="shared" si="18"/>
        <v>6980</v>
      </c>
      <c r="Q228" s="1" t="str">
        <f t="shared" si="19"/>
        <v>Medium</v>
      </c>
    </row>
    <row r="229" spans="1:17">
      <c r="A229" t="s">
        <v>254</v>
      </c>
      <c r="B229" t="s">
        <v>18</v>
      </c>
      <c r="C229" t="s">
        <v>19</v>
      </c>
      <c r="D229">
        <v>1</v>
      </c>
      <c r="E229" t="s">
        <v>20</v>
      </c>
      <c r="F229" t="s">
        <v>21</v>
      </c>
      <c r="G229">
        <v>3436</v>
      </c>
      <c r="H229">
        <v>3809</v>
      </c>
      <c r="I229">
        <v>100</v>
      </c>
      <c r="J229">
        <v>360</v>
      </c>
      <c r="K229">
        <v>1</v>
      </c>
      <c r="L229" t="s">
        <v>33</v>
      </c>
      <c r="M229">
        <f t="shared" si="15"/>
        <v>7245</v>
      </c>
      <c r="N229">
        <f t="shared" si="16"/>
        <v>4156</v>
      </c>
      <c r="O229">
        <f t="shared" si="17"/>
        <v>5205</v>
      </c>
      <c r="P229">
        <f t="shared" si="18"/>
        <v>6980</v>
      </c>
      <c r="Q229" s="1" t="str">
        <f t="shared" si="19"/>
        <v>Very High</v>
      </c>
    </row>
    <row r="230" spans="1:17">
      <c r="A230" t="s">
        <v>255</v>
      </c>
      <c r="B230" t="s">
        <v>18</v>
      </c>
      <c r="C230" t="s">
        <v>21</v>
      </c>
      <c r="D230">
        <v>0</v>
      </c>
      <c r="E230" t="s">
        <v>20</v>
      </c>
      <c r="F230" t="s">
        <v>21</v>
      </c>
      <c r="G230">
        <v>2412</v>
      </c>
      <c r="H230">
        <v>2755</v>
      </c>
      <c r="I230">
        <v>130</v>
      </c>
      <c r="J230">
        <v>360</v>
      </c>
      <c r="K230">
        <v>1</v>
      </c>
      <c r="L230" t="s">
        <v>33</v>
      </c>
      <c r="M230">
        <f t="shared" si="15"/>
        <v>5167</v>
      </c>
      <c r="N230">
        <f t="shared" si="16"/>
        <v>4156</v>
      </c>
      <c r="O230">
        <f t="shared" si="17"/>
        <v>5205</v>
      </c>
      <c r="P230">
        <f t="shared" si="18"/>
        <v>6980</v>
      </c>
      <c r="Q230" s="1" t="str">
        <f t="shared" si="19"/>
        <v>Medium</v>
      </c>
    </row>
    <row r="231" spans="1:17">
      <c r="A231" t="s">
        <v>256</v>
      </c>
      <c r="B231" t="s">
        <v>18</v>
      </c>
      <c r="C231" t="s">
        <v>19</v>
      </c>
      <c r="D231">
        <v>3</v>
      </c>
      <c r="E231" t="s">
        <v>27</v>
      </c>
      <c r="F231" t="s">
        <v>21</v>
      </c>
      <c r="G231">
        <v>5180</v>
      </c>
      <c r="H231">
        <v>0</v>
      </c>
      <c r="I231">
        <v>125</v>
      </c>
      <c r="J231">
        <v>360</v>
      </c>
      <c r="K231">
        <v>0</v>
      </c>
      <c r="L231" t="s">
        <v>22</v>
      </c>
      <c r="M231">
        <f t="shared" si="15"/>
        <v>5180</v>
      </c>
      <c r="N231">
        <f t="shared" si="16"/>
        <v>4156</v>
      </c>
      <c r="O231">
        <f t="shared" si="17"/>
        <v>5205</v>
      </c>
      <c r="P231">
        <f t="shared" si="18"/>
        <v>6980</v>
      </c>
      <c r="Q231" s="1" t="str">
        <f t="shared" si="19"/>
        <v>Medium</v>
      </c>
    </row>
    <row r="232" spans="1:17">
      <c r="A232" t="s">
        <v>257</v>
      </c>
      <c r="B232" t="s">
        <v>18</v>
      </c>
      <c r="C232" t="s">
        <v>21</v>
      </c>
      <c r="D232">
        <v>0</v>
      </c>
      <c r="E232" t="s">
        <v>20</v>
      </c>
      <c r="F232" t="s">
        <v>21</v>
      </c>
      <c r="G232">
        <v>14911</v>
      </c>
      <c r="H232">
        <v>14507</v>
      </c>
      <c r="I232">
        <v>130</v>
      </c>
      <c r="J232">
        <v>360</v>
      </c>
      <c r="K232">
        <v>1</v>
      </c>
      <c r="L232" t="s">
        <v>31</v>
      </c>
      <c r="M232">
        <f t="shared" si="15"/>
        <v>29418</v>
      </c>
      <c r="N232">
        <f t="shared" si="16"/>
        <v>4156</v>
      </c>
      <c r="O232">
        <f t="shared" si="17"/>
        <v>5205</v>
      </c>
      <c r="P232">
        <f t="shared" si="18"/>
        <v>6980</v>
      </c>
      <c r="Q232" s="1" t="str">
        <f t="shared" si="19"/>
        <v>Very High</v>
      </c>
    </row>
    <row r="233" spans="1:17">
      <c r="A233" t="s">
        <v>258</v>
      </c>
      <c r="B233" t="s">
        <v>35</v>
      </c>
      <c r="C233" t="s">
        <v>21</v>
      </c>
      <c r="D233">
        <v>0</v>
      </c>
      <c r="E233" t="s">
        <v>20</v>
      </c>
      <c r="F233" t="s">
        <v>19</v>
      </c>
      <c r="G233">
        <v>2860</v>
      </c>
      <c r="H233">
        <v>2988</v>
      </c>
      <c r="I233">
        <v>138</v>
      </c>
      <c r="J233">
        <v>360</v>
      </c>
      <c r="K233">
        <v>1</v>
      </c>
      <c r="L233" t="s">
        <v>22</v>
      </c>
      <c r="M233">
        <f t="shared" si="15"/>
        <v>5848</v>
      </c>
      <c r="N233">
        <f t="shared" si="16"/>
        <v>4156</v>
      </c>
      <c r="O233">
        <f t="shared" si="17"/>
        <v>5205</v>
      </c>
      <c r="P233">
        <f t="shared" si="18"/>
        <v>6980</v>
      </c>
      <c r="Q233" s="1" t="str">
        <f t="shared" si="19"/>
        <v>High</v>
      </c>
    </row>
    <row r="234" spans="1:17">
      <c r="A234" t="s">
        <v>259</v>
      </c>
      <c r="B234" t="s">
        <v>18</v>
      </c>
      <c r="C234" t="s">
        <v>19</v>
      </c>
      <c r="D234">
        <v>0</v>
      </c>
      <c r="E234" t="s">
        <v>20</v>
      </c>
      <c r="F234" t="s">
        <v>21</v>
      </c>
      <c r="G234">
        <v>1173</v>
      </c>
      <c r="H234">
        <v>1594</v>
      </c>
      <c r="I234">
        <v>28</v>
      </c>
      <c r="J234">
        <v>180</v>
      </c>
      <c r="K234">
        <v>1</v>
      </c>
      <c r="L234" t="s">
        <v>33</v>
      </c>
      <c r="M234">
        <f t="shared" si="15"/>
        <v>2767</v>
      </c>
      <c r="N234">
        <f t="shared" si="16"/>
        <v>4156</v>
      </c>
      <c r="O234">
        <f t="shared" si="17"/>
        <v>5205</v>
      </c>
      <c r="P234">
        <f t="shared" si="18"/>
        <v>6980</v>
      </c>
      <c r="Q234" s="1" t="str">
        <f t="shared" si="19"/>
        <v>Low</v>
      </c>
    </row>
    <row r="235" spans="1:17">
      <c r="A235" t="s">
        <v>260</v>
      </c>
      <c r="B235" t="s">
        <v>30</v>
      </c>
      <c r="C235" t="s">
        <v>21</v>
      </c>
      <c r="D235">
        <v>1</v>
      </c>
      <c r="E235" t="s">
        <v>20</v>
      </c>
      <c r="F235" t="s">
        <v>21</v>
      </c>
      <c r="G235">
        <v>7600</v>
      </c>
      <c r="H235">
        <v>0</v>
      </c>
      <c r="I235">
        <v>92</v>
      </c>
      <c r="J235">
        <v>360</v>
      </c>
      <c r="K235">
        <v>1</v>
      </c>
      <c r="L235" t="s">
        <v>31</v>
      </c>
      <c r="M235">
        <f t="shared" si="15"/>
        <v>7600</v>
      </c>
      <c r="N235">
        <f t="shared" si="16"/>
        <v>4156</v>
      </c>
      <c r="O235">
        <f t="shared" si="17"/>
        <v>5205</v>
      </c>
      <c r="P235">
        <f t="shared" si="18"/>
        <v>6980</v>
      </c>
      <c r="Q235" s="1" t="str">
        <f t="shared" si="19"/>
        <v>Very High</v>
      </c>
    </row>
    <row r="236" spans="1:17">
      <c r="A236" t="s">
        <v>261</v>
      </c>
      <c r="B236" t="s">
        <v>30</v>
      </c>
      <c r="C236" t="s">
        <v>19</v>
      </c>
      <c r="D236">
        <v>0</v>
      </c>
      <c r="E236" t="s">
        <v>20</v>
      </c>
      <c r="F236" t="s">
        <v>21</v>
      </c>
      <c r="G236">
        <v>2157</v>
      </c>
      <c r="H236">
        <v>1788</v>
      </c>
      <c r="I236">
        <v>104</v>
      </c>
      <c r="J236">
        <v>360</v>
      </c>
      <c r="K236">
        <v>1</v>
      </c>
      <c r="L236" t="s">
        <v>22</v>
      </c>
      <c r="M236">
        <f t="shared" si="15"/>
        <v>3945</v>
      </c>
      <c r="N236">
        <f t="shared" si="16"/>
        <v>4156</v>
      </c>
      <c r="O236">
        <f t="shared" si="17"/>
        <v>5205</v>
      </c>
      <c r="P236">
        <f t="shared" si="18"/>
        <v>6980</v>
      </c>
      <c r="Q236" s="1" t="str">
        <f t="shared" si="19"/>
        <v>Low</v>
      </c>
    </row>
    <row r="237" spans="1:17">
      <c r="A237" t="s">
        <v>262</v>
      </c>
      <c r="B237" t="s">
        <v>18</v>
      </c>
      <c r="C237" t="s">
        <v>21</v>
      </c>
      <c r="D237">
        <v>0</v>
      </c>
      <c r="E237" t="s">
        <v>20</v>
      </c>
      <c r="F237" t="s">
        <v>21</v>
      </c>
      <c r="G237">
        <v>2231</v>
      </c>
      <c r="H237">
        <v>2774</v>
      </c>
      <c r="I237">
        <v>176</v>
      </c>
      <c r="J237">
        <v>360</v>
      </c>
      <c r="K237">
        <v>0</v>
      </c>
      <c r="L237" t="s">
        <v>22</v>
      </c>
      <c r="M237">
        <f t="shared" si="15"/>
        <v>5005</v>
      </c>
      <c r="N237">
        <f t="shared" si="16"/>
        <v>4156</v>
      </c>
      <c r="O237">
        <f t="shared" si="17"/>
        <v>5205</v>
      </c>
      <c r="P237">
        <f t="shared" si="18"/>
        <v>6980</v>
      </c>
      <c r="Q237" s="1" t="str">
        <f t="shared" si="19"/>
        <v>Medium</v>
      </c>
    </row>
    <row r="238" spans="1:17">
      <c r="A238" t="s">
        <v>263</v>
      </c>
      <c r="B238" t="s">
        <v>30</v>
      </c>
      <c r="C238" t="s">
        <v>21</v>
      </c>
      <c r="D238">
        <v>0</v>
      </c>
      <c r="E238" t="s">
        <v>20</v>
      </c>
      <c r="F238" t="s">
        <v>21</v>
      </c>
      <c r="G238">
        <v>2274</v>
      </c>
      <c r="H238">
        <v>5211</v>
      </c>
      <c r="I238">
        <v>117</v>
      </c>
      <c r="J238">
        <v>360</v>
      </c>
      <c r="K238">
        <v>0</v>
      </c>
      <c r="L238" t="s">
        <v>31</v>
      </c>
      <c r="M238">
        <f t="shared" si="15"/>
        <v>7485</v>
      </c>
      <c r="N238">
        <f t="shared" si="16"/>
        <v>4156</v>
      </c>
      <c r="O238">
        <f t="shared" si="17"/>
        <v>5205</v>
      </c>
      <c r="P238">
        <f t="shared" si="18"/>
        <v>6980</v>
      </c>
      <c r="Q238" s="1" t="str">
        <f t="shared" si="19"/>
        <v>Very High</v>
      </c>
    </row>
    <row r="239" spans="1:17">
      <c r="A239" t="s">
        <v>264</v>
      </c>
      <c r="B239" t="s">
        <v>18</v>
      </c>
      <c r="C239" t="s">
        <v>19</v>
      </c>
      <c r="D239">
        <v>2</v>
      </c>
      <c r="E239" t="s">
        <v>27</v>
      </c>
      <c r="F239" t="s">
        <v>21</v>
      </c>
      <c r="G239">
        <v>6166</v>
      </c>
      <c r="H239">
        <v>13983</v>
      </c>
      <c r="I239">
        <v>102</v>
      </c>
      <c r="J239">
        <v>360</v>
      </c>
      <c r="K239">
        <v>1</v>
      </c>
      <c r="L239" t="s">
        <v>33</v>
      </c>
      <c r="M239">
        <f t="shared" si="15"/>
        <v>20149</v>
      </c>
      <c r="N239">
        <f t="shared" si="16"/>
        <v>4156</v>
      </c>
      <c r="O239">
        <f t="shared" si="17"/>
        <v>5205</v>
      </c>
      <c r="P239">
        <f t="shared" si="18"/>
        <v>6980</v>
      </c>
      <c r="Q239" s="1" t="str">
        <f t="shared" si="19"/>
        <v>Very High</v>
      </c>
    </row>
    <row r="240" spans="1:17">
      <c r="A240" t="s">
        <v>265</v>
      </c>
      <c r="B240" t="s">
        <v>18</v>
      </c>
      <c r="C240" t="s">
        <v>19</v>
      </c>
      <c r="D240">
        <v>2</v>
      </c>
      <c r="E240" t="s">
        <v>27</v>
      </c>
      <c r="F240" t="s">
        <v>21</v>
      </c>
      <c r="G240">
        <v>2513</v>
      </c>
      <c r="H240">
        <v>1110</v>
      </c>
      <c r="I240">
        <v>107</v>
      </c>
      <c r="J240">
        <v>360</v>
      </c>
      <c r="K240">
        <v>1</v>
      </c>
      <c r="L240" t="s">
        <v>31</v>
      </c>
      <c r="M240">
        <f t="shared" si="15"/>
        <v>3623</v>
      </c>
      <c r="N240">
        <f t="shared" si="16"/>
        <v>4156</v>
      </c>
      <c r="O240">
        <f t="shared" si="17"/>
        <v>5205</v>
      </c>
      <c r="P240">
        <f t="shared" si="18"/>
        <v>6980</v>
      </c>
      <c r="Q240" s="1" t="str">
        <f t="shared" si="19"/>
        <v>Low</v>
      </c>
    </row>
    <row r="241" spans="1:17">
      <c r="A241" t="s">
        <v>266</v>
      </c>
      <c r="B241" t="s">
        <v>18</v>
      </c>
      <c r="C241" t="s">
        <v>21</v>
      </c>
      <c r="D241">
        <v>0</v>
      </c>
      <c r="E241" t="s">
        <v>20</v>
      </c>
      <c r="F241" t="s">
        <v>21</v>
      </c>
      <c r="G241">
        <v>4333</v>
      </c>
      <c r="H241">
        <v>0</v>
      </c>
      <c r="I241">
        <v>66</v>
      </c>
      <c r="J241">
        <v>480</v>
      </c>
      <c r="K241">
        <v>1</v>
      </c>
      <c r="L241" t="s">
        <v>22</v>
      </c>
      <c r="M241">
        <f t="shared" si="15"/>
        <v>4333</v>
      </c>
      <c r="N241">
        <f t="shared" si="16"/>
        <v>4156</v>
      </c>
      <c r="O241">
        <f t="shared" si="17"/>
        <v>5205</v>
      </c>
      <c r="P241">
        <f t="shared" si="18"/>
        <v>6980</v>
      </c>
      <c r="Q241" s="1" t="str">
        <f t="shared" si="19"/>
        <v>Medium</v>
      </c>
    </row>
    <row r="242" spans="1:17">
      <c r="A242" t="s">
        <v>267</v>
      </c>
      <c r="B242" t="s">
        <v>18</v>
      </c>
      <c r="C242" t="s">
        <v>21</v>
      </c>
      <c r="D242">
        <v>0</v>
      </c>
      <c r="E242" t="s">
        <v>27</v>
      </c>
      <c r="F242" t="s">
        <v>21</v>
      </c>
      <c r="G242">
        <v>3844</v>
      </c>
      <c r="H242">
        <v>0</v>
      </c>
      <c r="I242">
        <v>105</v>
      </c>
      <c r="J242">
        <v>360</v>
      </c>
      <c r="K242">
        <v>1</v>
      </c>
      <c r="L242" t="s">
        <v>22</v>
      </c>
      <c r="M242">
        <f t="shared" si="15"/>
        <v>3844</v>
      </c>
      <c r="N242">
        <f t="shared" si="16"/>
        <v>4156</v>
      </c>
      <c r="O242">
        <f t="shared" si="17"/>
        <v>5205</v>
      </c>
      <c r="P242">
        <f t="shared" si="18"/>
        <v>6980</v>
      </c>
      <c r="Q242" s="1" t="str">
        <f t="shared" si="19"/>
        <v>Low</v>
      </c>
    </row>
    <row r="243" spans="1:17">
      <c r="A243" t="s">
        <v>268</v>
      </c>
      <c r="B243" t="s">
        <v>18</v>
      </c>
      <c r="C243" t="s">
        <v>19</v>
      </c>
      <c r="D243">
        <v>0</v>
      </c>
      <c r="E243" t="s">
        <v>20</v>
      </c>
      <c r="F243" t="s">
        <v>21</v>
      </c>
      <c r="G243">
        <v>3887</v>
      </c>
      <c r="H243">
        <v>1517</v>
      </c>
      <c r="I243">
        <v>105</v>
      </c>
      <c r="J243">
        <v>360</v>
      </c>
      <c r="K243">
        <v>0</v>
      </c>
      <c r="L243" t="s">
        <v>31</v>
      </c>
      <c r="M243">
        <f t="shared" si="15"/>
        <v>5404</v>
      </c>
      <c r="N243">
        <f t="shared" si="16"/>
        <v>4156</v>
      </c>
      <c r="O243">
        <f t="shared" si="17"/>
        <v>5205</v>
      </c>
      <c r="P243">
        <f t="shared" si="18"/>
        <v>6980</v>
      </c>
      <c r="Q243" s="1" t="str">
        <f t="shared" si="19"/>
        <v>High</v>
      </c>
    </row>
    <row r="244" spans="1:17">
      <c r="A244" t="s">
        <v>269</v>
      </c>
      <c r="B244" t="s">
        <v>18</v>
      </c>
      <c r="C244" t="s">
        <v>19</v>
      </c>
      <c r="D244">
        <v>0</v>
      </c>
      <c r="E244" t="s">
        <v>20</v>
      </c>
      <c r="F244" t="s">
        <v>21</v>
      </c>
      <c r="G244">
        <v>3510</v>
      </c>
      <c r="H244">
        <v>828</v>
      </c>
      <c r="I244">
        <v>105</v>
      </c>
      <c r="J244">
        <v>360</v>
      </c>
      <c r="K244">
        <v>1</v>
      </c>
      <c r="L244" t="s">
        <v>31</v>
      </c>
      <c r="M244">
        <f t="shared" si="15"/>
        <v>4338</v>
      </c>
      <c r="N244">
        <f t="shared" si="16"/>
        <v>4156</v>
      </c>
      <c r="O244">
        <f t="shared" si="17"/>
        <v>5205</v>
      </c>
      <c r="P244">
        <f t="shared" si="18"/>
        <v>6980</v>
      </c>
      <c r="Q244" s="1" t="str">
        <f t="shared" si="19"/>
        <v>Medium</v>
      </c>
    </row>
    <row r="245" spans="1:17">
      <c r="A245" t="s">
        <v>270</v>
      </c>
      <c r="B245" t="s">
        <v>18</v>
      </c>
      <c r="C245" t="s">
        <v>19</v>
      </c>
      <c r="D245">
        <v>0</v>
      </c>
      <c r="E245" t="s">
        <v>20</v>
      </c>
      <c r="F245" t="s">
        <v>35</v>
      </c>
      <c r="G245">
        <v>2539</v>
      </c>
      <c r="H245">
        <v>1704</v>
      </c>
      <c r="I245">
        <v>125</v>
      </c>
      <c r="J245">
        <v>360</v>
      </c>
      <c r="K245">
        <v>0</v>
      </c>
      <c r="L245" t="s">
        <v>33</v>
      </c>
      <c r="M245">
        <f t="shared" si="15"/>
        <v>4243</v>
      </c>
      <c r="N245">
        <f t="shared" si="16"/>
        <v>4156</v>
      </c>
      <c r="O245">
        <f t="shared" si="17"/>
        <v>5205</v>
      </c>
      <c r="P245">
        <f t="shared" si="18"/>
        <v>6980</v>
      </c>
      <c r="Q245" s="1" t="str">
        <f t="shared" si="19"/>
        <v>Medium</v>
      </c>
    </row>
    <row r="246" spans="1:17">
      <c r="A246" t="s">
        <v>271</v>
      </c>
      <c r="B246" t="s">
        <v>30</v>
      </c>
      <c r="C246" t="s">
        <v>21</v>
      </c>
      <c r="D246">
        <v>0</v>
      </c>
      <c r="E246" t="s">
        <v>27</v>
      </c>
      <c r="F246" t="s">
        <v>21</v>
      </c>
      <c r="G246">
        <v>2107</v>
      </c>
      <c r="H246">
        <v>0</v>
      </c>
      <c r="I246">
        <v>64</v>
      </c>
      <c r="J246">
        <v>360</v>
      </c>
      <c r="K246">
        <v>1</v>
      </c>
      <c r="L246" t="s">
        <v>31</v>
      </c>
      <c r="M246">
        <f t="shared" si="15"/>
        <v>2107</v>
      </c>
      <c r="N246">
        <f t="shared" si="16"/>
        <v>4156</v>
      </c>
      <c r="O246">
        <f t="shared" si="17"/>
        <v>5205</v>
      </c>
      <c r="P246">
        <f t="shared" si="18"/>
        <v>6980</v>
      </c>
      <c r="Q246" s="1" t="str">
        <f t="shared" si="19"/>
        <v>Low</v>
      </c>
    </row>
    <row r="247" spans="1:17">
      <c r="A247" t="s">
        <v>272</v>
      </c>
      <c r="B247" t="s">
        <v>35</v>
      </c>
      <c r="C247" t="s">
        <v>19</v>
      </c>
      <c r="D247">
        <v>0</v>
      </c>
      <c r="E247" t="s">
        <v>20</v>
      </c>
      <c r="F247" t="s">
        <v>21</v>
      </c>
      <c r="G247">
        <v>3186</v>
      </c>
      <c r="H247">
        <v>3145</v>
      </c>
      <c r="I247">
        <v>150</v>
      </c>
      <c r="J247">
        <v>180</v>
      </c>
      <c r="K247">
        <v>0</v>
      </c>
      <c r="L247" t="s">
        <v>31</v>
      </c>
      <c r="M247">
        <f t="shared" si="15"/>
        <v>6331</v>
      </c>
      <c r="N247">
        <f t="shared" si="16"/>
        <v>4156</v>
      </c>
      <c r="O247">
        <f t="shared" si="17"/>
        <v>5205</v>
      </c>
      <c r="P247">
        <f t="shared" si="18"/>
        <v>6980</v>
      </c>
      <c r="Q247" s="1" t="str">
        <f t="shared" si="19"/>
        <v>High</v>
      </c>
    </row>
    <row r="248" spans="1:17">
      <c r="A248" t="s">
        <v>273</v>
      </c>
      <c r="B248" t="s">
        <v>18</v>
      </c>
      <c r="C248" t="s">
        <v>19</v>
      </c>
      <c r="D248">
        <v>2</v>
      </c>
      <c r="E248" t="s">
        <v>20</v>
      </c>
      <c r="F248" t="s">
        <v>19</v>
      </c>
      <c r="G248">
        <v>5000</v>
      </c>
      <c r="H248">
        <v>2166</v>
      </c>
      <c r="I248">
        <v>150</v>
      </c>
      <c r="J248">
        <v>360</v>
      </c>
      <c r="K248">
        <v>1</v>
      </c>
      <c r="L248" t="s">
        <v>22</v>
      </c>
      <c r="M248">
        <f t="shared" si="15"/>
        <v>7166</v>
      </c>
      <c r="N248">
        <f t="shared" si="16"/>
        <v>4156</v>
      </c>
      <c r="O248">
        <f t="shared" si="17"/>
        <v>5205</v>
      </c>
      <c r="P248">
        <f t="shared" si="18"/>
        <v>6980</v>
      </c>
      <c r="Q248" s="1" t="str">
        <f t="shared" si="19"/>
        <v>Very High</v>
      </c>
    </row>
    <row r="249" spans="1:17">
      <c r="A249" t="s">
        <v>274</v>
      </c>
      <c r="B249" t="s">
        <v>18</v>
      </c>
      <c r="C249" t="s">
        <v>19</v>
      </c>
      <c r="E249" t="s">
        <v>20</v>
      </c>
      <c r="F249" t="s">
        <v>21</v>
      </c>
      <c r="G249">
        <v>10000</v>
      </c>
      <c r="H249">
        <v>0</v>
      </c>
      <c r="J249">
        <v>360</v>
      </c>
      <c r="K249">
        <v>1</v>
      </c>
      <c r="L249" t="s">
        <v>22</v>
      </c>
      <c r="M249">
        <f t="shared" si="15"/>
        <v>10000</v>
      </c>
      <c r="N249">
        <f t="shared" si="16"/>
        <v>4156</v>
      </c>
      <c r="O249">
        <f t="shared" si="17"/>
        <v>5205</v>
      </c>
      <c r="P249">
        <f t="shared" si="18"/>
        <v>6980</v>
      </c>
      <c r="Q249" s="1" t="str">
        <f t="shared" si="19"/>
        <v>Very High</v>
      </c>
    </row>
    <row r="250" spans="1:17">
      <c r="A250" t="s">
        <v>275</v>
      </c>
      <c r="B250" t="s">
        <v>18</v>
      </c>
      <c r="C250" t="s">
        <v>19</v>
      </c>
      <c r="D250">
        <v>0</v>
      </c>
      <c r="E250" t="s">
        <v>27</v>
      </c>
      <c r="F250" t="s">
        <v>19</v>
      </c>
      <c r="G250">
        <v>3943</v>
      </c>
      <c r="H250">
        <v>0</v>
      </c>
      <c r="I250">
        <v>64</v>
      </c>
      <c r="J250">
        <v>360</v>
      </c>
      <c r="K250">
        <v>1</v>
      </c>
      <c r="L250" t="s">
        <v>31</v>
      </c>
      <c r="M250">
        <f t="shared" si="15"/>
        <v>3943</v>
      </c>
      <c r="N250">
        <f t="shared" si="16"/>
        <v>4156</v>
      </c>
      <c r="O250">
        <f t="shared" si="17"/>
        <v>5205</v>
      </c>
      <c r="P250">
        <f t="shared" si="18"/>
        <v>6980</v>
      </c>
      <c r="Q250" s="1" t="str">
        <f t="shared" si="19"/>
        <v>Low</v>
      </c>
    </row>
    <row r="251" spans="1:17">
      <c r="A251" t="s">
        <v>276</v>
      </c>
      <c r="B251" t="s">
        <v>18</v>
      </c>
      <c r="C251" t="s">
        <v>21</v>
      </c>
      <c r="D251">
        <v>0</v>
      </c>
      <c r="E251" t="s">
        <v>20</v>
      </c>
      <c r="F251" t="s">
        <v>21</v>
      </c>
      <c r="G251">
        <v>2925</v>
      </c>
      <c r="H251">
        <v>0</v>
      </c>
      <c r="I251">
        <v>40</v>
      </c>
      <c r="J251">
        <v>180</v>
      </c>
      <c r="K251">
        <v>1</v>
      </c>
      <c r="L251" t="s">
        <v>33</v>
      </c>
      <c r="M251">
        <f t="shared" si="15"/>
        <v>2925</v>
      </c>
      <c r="N251">
        <f t="shared" si="16"/>
        <v>4156</v>
      </c>
      <c r="O251">
        <f t="shared" si="17"/>
        <v>5205</v>
      </c>
      <c r="P251">
        <f t="shared" si="18"/>
        <v>6980</v>
      </c>
      <c r="Q251" s="1" t="str">
        <f t="shared" si="19"/>
        <v>Low</v>
      </c>
    </row>
    <row r="252" spans="1:17">
      <c r="A252" t="s">
        <v>277</v>
      </c>
      <c r="B252" t="s">
        <v>18</v>
      </c>
      <c r="C252" t="s">
        <v>19</v>
      </c>
      <c r="D252">
        <v>3</v>
      </c>
      <c r="E252" t="s">
        <v>20</v>
      </c>
      <c r="F252" t="s">
        <v>21</v>
      </c>
      <c r="G252">
        <v>3242</v>
      </c>
      <c r="H252">
        <v>437</v>
      </c>
      <c r="I252">
        <v>142</v>
      </c>
      <c r="J252">
        <v>480</v>
      </c>
      <c r="K252">
        <v>0</v>
      </c>
      <c r="L252" t="s">
        <v>22</v>
      </c>
      <c r="M252">
        <f t="shared" si="15"/>
        <v>3679</v>
      </c>
      <c r="N252">
        <f t="shared" si="16"/>
        <v>4156</v>
      </c>
      <c r="O252">
        <f t="shared" si="17"/>
        <v>5205</v>
      </c>
      <c r="P252">
        <f t="shared" si="18"/>
        <v>6980</v>
      </c>
      <c r="Q252" s="1" t="str">
        <f t="shared" si="19"/>
        <v>Low</v>
      </c>
    </row>
    <row r="253" spans="1:17">
      <c r="A253" t="s">
        <v>278</v>
      </c>
      <c r="B253" t="s">
        <v>18</v>
      </c>
      <c r="C253" t="s">
        <v>19</v>
      </c>
      <c r="E253" t="s">
        <v>20</v>
      </c>
      <c r="F253" t="s">
        <v>21</v>
      </c>
      <c r="G253">
        <v>3863</v>
      </c>
      <c r="H253">
        <v>0</v>
      </c>
      <c r="I253">
        <v>70</v>
      </c>
      <c r="J253">
        <v>300</v>
      </c>
      <c r="K253">
        <v>1</v>
      </c>
      <c r="L253" t="s">
        <v>31</v>
      </c>
      <c r="M253">
        <f t="shared" si="15"/>
        <v>3863</v>
      </c>
      <c r="N253">
        <f t="shared" si="16"/>
        <v>4156</v>
      </c>
      <c r="O253">
        <f t="shared" si="17"/>
        <v>5205</v>
      </c>
      <c r="P253">
        <f t="shared" si="18"/>
        <v>6980</v>
      </c>
      <c r="Q253" s="1" t="str">
        <f t="shared" si="19"/>
        <v>Low</v>
      </c>
    </row>
    <row r="254" spans="1:17">
      <c r="A254" t="s">
        <v>279</v>
      </c>
      <c r="B254" t="s">
        <v>30</v>
      </c>
      <c r="C254" t="s">
        <v>21</v>
      </c>
      <c r="D254">
        <v>1</v>
      </c>
      <c r="E254" t="s">
        <v>20</v>
      </c>
      <c r="F254" t="s">
        <v>21</v>
      </c>
      <c r="G254">
        <v>4028</v>
      </c>
      <c r="H254">
        <v>0</v>
      </c>
      <c r="I254">
        <v>131</v>
      </c>
      <c r="J254">
        <v>360</v>
      </c>
      <c r="K254">
        <v>1</v>
      </c>
      <c r="L254" t="s">
        <v>31</v>
      </c>
      <c r="M254">
        <f t="shared" si="15"/>
        <v>4028</v>
      </c>
      <c r="N254">
        <f t="shared" si="16"/>
        <v>4156</v>
      </c>
      <c r="O254">
        <f t="shared" si="17"/>
        <v>5205</v>
      </c>
      <c r="P254">
        <f t="shared" si="18"/>
        <v>6980</v>
      </c>
      <c r="Q254" s="1" t="str">
        <f t="shared" si="19"/>
        <v>Low</v>
      </c>
    </row>
    <row r="255" spans="1:17">
      <c r="A255" t="s">
        <v>280</v>
      </c>
      <c r="B255" t="s">
        <v>18</v>
      </c>
      <c r="C255" t="s">
        <v>19</v>
      </c>
      <c r="D255">
        <v>2</v>
      </c>
      <c r="E255" t="s">
        <v>20</v>
      </c>
      <c r="F255" t="s">
        <v>21</v>
      </c>
      <c r="G255">
        <v>4010</v>
      </c>
      <c r="H255">
        <v>1025</v>
      </c>
      <c r="I255">
        <v>120</v>
      </c>
      <c r="J255">
        <v>360</v>
      </c>
      <c r="K255">
        <v>1</v>
      </c>
      <c r="L255" t="s">
        <v>22</v>
      </c>
      <c r="M255">
        <f t="shared" si="15"/>
        <v>5035</v>
      </c>
      <c r="N255">
        <f t="shared" si="16"/>
        <v>4156</v>
      </c>
      <c r="O255">
        <f t="shared" si="17"/>
        <v>5205</v>
      </c>
      <c r="P255">
        <f t="shared" si="18"/>
        <v>6980</v>
      </c>
      <c r="Q255" s="1" t="str">
        <f t="shared" si="19"/>
        <v>Medium</v>
      </c>
    </row>
    <row r="256" spans="1:17">
      <c r="A256" t="s">
        <v>281</v>
      </c>
      <c r="B256" t="s">
        <v>30</v>
      </c>
      <c r="C256" t="s">
        <v>19</v>
      </c>
      <c r="D256">
        <v>1</v>
      </c>
      <c r="E256" t="s">
        <v>20</v>
      </c>
      <c r="F256" t="s">
        <v>21</v>
      </c>
      <c r="G256">
        <v>3719</v>
      </c>
      <c r="H256">
        <v>1585</v>
      </c>
      <c r="I256">
        <v>114</v>
      </c>
      <c r="J256">
        <v>360</v>
      </c>
      <c r="K256">
        <v>1</v>
      </c>
      <c r="L256" t="s">
        <v>22</v>
      </c>
      <c r="M256">
        <f t="shared" si="15"/>
        <v>5304</v>
      </c>
      <c r="N256">
        <f t="shared" si="16"/>
        <v>4156</v>
      </c>
      <c r="O256">
        <f t="shared" si="17"/>
        <v>5205</v>
      </c>
      <c r="P256">
        <f t="shared" si="18"/>
        <v>6980</v>
      </c>
      <c r="Q256" s="1" t="str">
        <f t="shared" si="19"/>
        <v>High</v>
      </c>
    </row>
    <row r="257" spans="1:17">
      <c r="A257" t="s">
        <v>282</v>
      </c>
      <c r="B257" t="s">
        <v>18</v>
      </c>
      <c r="C257" t="s">
        <v>21</v>
      </c>
      <c r="D257">
        <v>0</v>
      </c>
      <c r="E257" t="s">
        <v>20</v>
      </c>
      <c r="F257" t="s">
        <v>35</v>
      </c>
      <c r="G257">
        <v>2858</v>
      </c>
      <c r="H257">
        <v>0</v>
      </c>
      <c r="I257">
        <v>123</v>
      </c>
      <c r="J257">
        <v>360</v>
      </c>
      <c r="K257">
        <v>0</v>
      </c>
      <c r="L257" t="s">
        <v>33</v>
      </c>
      <c r="M257">
        <f t="shared" si="15"/>
        <v>2858</v>
      </c>
      <c r="N257">
        <f t="shared" si="16"/>
        <v>4156</v>
      </c>
      <c r="O257">
        <f t="shared" si="17"/>
        <v>5205</v>
      </c>
      <c r="P257">
        <f t="shared" si="18"/>
        <v>6980</v>
      </c>
      <c r="Q257" s="1" t="str">
        <f t="shared" si="19"/>
        <v>Low</v>
      </c>
    </row>
    <row r="258" spans="1:17">
      <c r="A258" t="s">
        <v>283</v>
      </c>
      <c r="B258" t="s">
        <v>30</v>
      </c>
      <c r="C258" t="s">
        <v>19</v>
      </c>
      <c r="D258">
        <v>0</v>
      </c>
      <c r="E258" t="s">
        <v>20</v>
      </c>
      <c r="F258" t="s">
        <v>21</v>
      </c>
      <c r="G258">
        <v>3833</v>
      </c>
      <c r="H258">
        <v>0</v>
      </c>
      <c r="I258">
        <v>92</v>
      </c>
      <c r="J258">
        <v>360</v>
      </c>
      <c r="K258">
        <v>1</v>
      </c>
      <c r="L258" t="s">
        <v>33</v>
      </c>
      <c r="M258">
        <f t="shared" ref="M258:M321" si="20">G258 + H258</f>
        <v>3833</v>
      </c>
      <c r="N258">
        <f t="shared" ref="N258:N321" si="21">PERCENTILE(M:M,0.25)</f>
        <v>4156</v>
      </c>
      <c r="O258">
        <f t="shared" ref="O258:O321" si="22">PERCENTILE(M:M,0.5)</f>
        <v>5205</v>
      </c>
      <c r="P258">
        <f t="shared" ref="P258:P321" si="23">PERCENTILE(M:M,0.75)</f>
        <v>6980</v>
      </c>
      <c r="Q258" s="1" t="str">
        <f t="shared" ref="Q258:Q321" si="24">IF(M258&lt;$N$2,"Low",IF(M258&lt;$O$2,"Medium",IF(M258&lt;$P$2,"High","Very High")))</f>
        <v>Low</v>
      </c>
    </row>
    <row r="259" spans="1:17">
      <c r="A259" t="s">
        <v>284</v>
      </c>
      <c r="B259" t="s">
        <v>18</v>
      </c>
      <c r="C259" t="s">
        <v>19</v>
      </c>
      <c r="D259">
        <v>0</v>
      </c>
      <c r="E259" t="s">
        <v>20</v>
      </c>
      <c r="F259" t="s">
        <v>21</v>
      </c>
      <c r="G259">
        <v>3333</v>
      </c>
      <c r="H259">
        <v>4288</v>
      </c>
      <c r="I259">
        <v>160</v>
      </c>
      <c r="J259">
        <v>360</v>
      </c>
      <c r="K259">
        <v>1</v>
      </c>
      <c r="L259" t="s">
        <v>22</v>
      </c>
      <c r="M259">
        <f t="shared" si="20"/>
        <v>7621</v>
      </c>
      <c r="N259">
        <f t="shared" si="21"/>
        <v>4156</v>
      </c>
      <c r="O259">
        <f t="shared" si="22"/>
        <v>5205</v>
      </c>
      <c r="P259">
        <f t="shared" si="23"/>
        <v>6980</v>
      </c>
      <c r="Q259" s="1" t="str">
        <f t="shared" si="24"/>
        <v>Very High</v>
      </c>
    </row>
    <row r="260" spans="1:17">
      <c r="A260" t="s">
        <v>285</v>
      </c>
      <c r="B260" t="s">
        <v>18</v>
      </c>
      <c r="C260" t="s">
        <v>19</v>
      </c>
      <c r="D260">
        <v>0</v>
      </c>
      <c r="E260" t="s">
        <v>20</v>
      </c>
      <c r="F260" t="s">
        <v>21</v>
      </c>
      <c r="G260">
        <v>3007</v>
      </c>
      <c r="H260">
        <v>3725</v>
      </c>
      <c r="I260">
        <v>151</v>
      </c>
      <c r="J260">
        <v>360</v>
      </c>
      <c r="K260">
        <v>1</v>
      </c>
      <c r="L260" t="s">
        <v>33</v>
      </c>
      <c r="M260">
        <f t="shared" si="20"/>
        <v>6732</v>
      </c>
      <c r="N260">
        <f t="shared" si="21"/>
        <v>4156</v>
      </c>
      <c r="O260">
        <f t="shared" si="22"/>
        <v>5205</v>
      </c>
      <c r="P260">
        <f t="shared" si="23"/>
        <v>6980</v>
      </c>
      <c r="Q260" s="1" t="str">
        <f t="shared" si="24"/>
        <v>High</v>
      </c>
    </row>
    <row r="261" spans="1:17">
      <c r="A261" t="s">
        <v>286</v>
      </c>
      <c r="B261" t="s">
        <v>30</v>
      </c>
      <c r="C261" t="s">
        <v>21</v>
      </c>
      <c r="D261">
        <v>1</v>
      </c>
      <c r="E261" t="s">
        <v>20</v>
      </c>
      <c r="F261" t="s">
        <v>35</v>
      </c>
      <c r="G261">
        <v>1850</v>
      </c>
      <c r="H261">
        <v>4583</v>
      </c>
      <c r="I261">
        <v>81</v>
      </c>
      <c r="J261">
        <v>360</v>
      </c>
      <c r="L261" t="s">
        <v>33</v>
      </c>
      <c r="M261">
        <f t="shared" si="20"/>
        <v>6433</v>
      </c>
      <c r="N261">
        <f t="shared" si="21"/>
        <v>4156</v>
      </c>
      <c r="O261">
        <f t="shared" si="22"/>
        <v>5205</v>
      </c>
      <c r="P261">
        <f t="shared" si="23"/>
        <v>6980</v>
      </c>
      <c r="Q261" s="1" t="str">
        <f t="shared" si="24"/>
        <v>High</v>
      </c>
    </row>
    <row r="262" spans="1:17">
      <c r="A262" t="s">
        <v>287</v>
      </c>
      <c r="B262" t="s">
        <v>18</v>
      </c>
      <c r="C262" t="s">
        <v>19</v>
      </c>
      <c r="D262">
        <v>3</v>
      </c>
      <c r="E262" t="s">
        <v>27</v>
      </c>
      <c r="F262" t="s">
        <v>21</v>
      </c>
      <c r="G262">
        <v>2792</v>
      </c>
      <c r="H262">
        <v>2619</v>
      </c>
      <c r="I262">
        <v>171</v>
      </c>
      <c r="J262">
        <v>360</v>
      </c>
      <c r="K262">
        <v>1</v>
      </c>
      <c r="L262" t="s">
        <v>31</v>
      </c>
      <c r="M262">
        <f t="shared" si="20"/>
        <v>5411</v>
      </c>
      <c r="N262">
        <f t="shared" si="21"/>
        <v>4156</v>
      </c>
      <c r="O262">
        <f t="shared" si="22"/>
        <v>5205</v>
      </c>
      <c r="P262">
        <f t="shared" si="23"/>
        <v>6980</v>
      </c>
      <c r="Q262" s="1" t="str">
        <f t="shared" si="24"/>
        <v>High</v>
      </c>
    </row>
    <row r="263" spans="1:17">
      <c r="A263" t="s">
        <v>288</v>
      </c>
      <c r="B263" t="s">
        <v>18</v>
      </c>
      <c r="C263" t="s">
        <v>19</v>
      </c>
      <c r="D263">
        <v>0</v>
      </c>
      <c r="E263" t="s">
        <v>20</v>
      </c>
      <c r="F263" t="s">
        <v>21</v>
      </c>
      <c r="G263">
        <v>2982</v>
      </c>
      <c r="H263">
        <v>1550</v>
      </c>
      <c r="I263">
        <v>110</v>
      </c>
      <c r="J263">
        <v>360</v>
      </c>
      <c r="K263">
        <v>1</v>
      </c>
      <c r="L263" t="s">
        <v>31</v>
      </c>
      <c r="M263">
        <f t="shared" si="20"/>
        <v>4532</v>
      </c>
      <c r="N263">
        <f t="shared" si="21"/>
        <v>4156</v>
      </c>
      <c r="O263">
        <f t="shared" si="22"/>
        <v>5205</v>
      </c>
      <c r="P263">
        <f t="shared" si="23"/>
        <v>6980</v>
      </c>
      <c r="Q263" s="1" t="str">
        <f t="shared" si="24"/>
        <v>Medium</v>
      </c>
    </row>
    <row r="264" spans="1:17">
      <c r="A264" t="s">
        <v>289</v>
      </c>
      <c r="B264" t="s">
        <v>18</v>
      </c>
      <c r="C264" t="s">
        <v>21</v>
      </c>
      <c r="D264">
        <v>0</v>
      </c>
      <c r="E264" t="s">
        <v>20</v>
      </c>
      <c r="F264" t="s">
        <v>21</v>
      </c>
      <c r="G264">
        <v>3417</v>
      </c>
      <c r="H264">
        <v>738</v>
      </c>
      <c r="I264">
        <v>100</v>
      </c>
      <c r="J264">
        <v>360</v>
      </c>
      <c r="L264" t="s">
        <v>33</v>
      </c>
      <c r="M264">
        <f t="shared" si="20"/>
        <v>4155</v>
      </c>
      <c r="N264">
        <f t="shared" si="21"/>
        <v>4156</v>
      </c>
      <c r="O264">
        <f t="shared" si="22"/>
        <v>5205</v>
      </c>
      <c r="P264">
        <f t="shared" si="23"/>
        <v>6980</v>
      </c>
      <c r="Q264" s="1" t="str">
        <f t="shared" si="24"/>
        <v>Low</v>
      </c>
    </row>
    <row r="265" spans="1:17">
      <c r="A265" t="s">
        <v>290</v>
      </c>
      <c r="B265" t="s">
        <v>18</v>
      </c>
      <c r="C265" t="s">
        <v>19</v>
      </c>
      <c r="D265">
        <v>1</v>
      </c>
      <c r="E265" t="s">
        <v>20</v>
      </c>
      <c r="F265" t="s">
        <v>21</v>
      </c>
      <c r="G265">
        <v>18840</v>
      </c>
      <c r="H265">
        <v>0</v>
      </c>
      <c r="I265">
        <v>234</v>
      </c>
      <c r="J265">
        <v>360</v>
      </c>
      <c r="K265">
        <v>1</v>
      </c>
      <c r="L265" t="s">
        <v>33</v>
      </c>
      <c r="M265">
        <f t="shared" si="20"/>
        <v>18840</v>
      </c>
      <c r="N265">
        <f t="shared" si="21"/>
        <v>4156</v>
      </c>
      <c r="O265">
        <f t="shared" si="22"/>
        <v>5205</v>
      </c>
      <c r="P265">
        <f t="shared" si="23"/>
        <v>6980</v>
      </c>
      <c r="Q265" s="1" t="str">
        <f t="shared" si="24"/>
        <v>Very High</v>
      </c>
    </row>
    <row r="266" spans="1:17">
      <c r="A266" t="s">
        <v>291</v>
      </c>
      <c r="B266" t="s">
        <v>18</v>
      </c>
      <c r="C266" t="s">
        <v>19</v>
      </c>
      <c r="D266">
        <v>2</v>
      </c>
      <c r="E266" t="s">
        <v>20</v>
      </c>
      <c r="F266" t="s">
        <v>21</v>
      </c>
      <c r="G266">
        <v>2995</v>
      </c>
      <c r="H266">
        <v>1120</v>
      </c>
      <c r="I266">
        <v>184</v>
      </c>
      <c r="J266">
        <v>360</v>
      </c>
      <c r="K266">
        <v>1</v>
      </c>
      <c r="L266" t="s">
        <v>33</v>
      </c>
      <c r="M266">
        <f t="shared" si="20"/>
        <v>4115</v>
      </c>
      <c r="N266">
        <f t="shared" si="21"/>
        <v>4156</v>
      </c>
      <c r="O266">
        <f t="shared" si="22"/>
        <v>5205</v>
      </c>
      <c r="P266">
        <f t="shared" si="23"/>
        <v>6980</v>
      </c>
      <c r="Q266" s="1" t="str">
        <f t="shared" si="24"/>
        <v>Low</v>
      </c>
    </row>
    <row r="267" spans="1:17">
      <c r="A267" t="s">
        <v>292</v>
      </c>
      <c r="B267" t="s">
        <v>18</v>
      </c>
      <c r="C267" t="s">
        <v>21</v>
      </c>
      <c r="E267" t="s">
        <v>20</v>
      </c>
      <c r="F267" t="s">
        <v>21</v>
      </c>
      <c r="G267">
        <v>3579</v>
      </c>
      <c r="H267">
        <v>3308</v>
      </c>
      <c r="I267">
        <v>138</v>
      </c>
      <c r="J267">
        <v>360</v>
      </c>
      <c r="L267" t="s">
        <v>31</v>
      </c>
      <c r="M267">
        <f t="shared" si="20"/>
        <v>6887</v>
      </c>
      <c r="N267">
        <f t="shared" si="21"/>
        <v>4156</v>
      </c>
      <c r="O267">
        <f t="shared" si="22"/>
        <v>5205</v>
      </c>
      <c r="P267">
        <f t="shared" si="23"/>
        <v>6980</v>
      </c>
      <c r="Q267" s="1" t="str">
        <f t="shared" si="24"/>
        <v>High</v>
      </c>
    </row>
    <row r="268" spans="1:17">
      <c r="A268" t="s">
        <v>293</v>
      </c>
      <c r="B268" t="s">
        <v>30</v>
      </c>
      <c r="C268" t="s">
        <v>19</v>
      </c>
      <c r="D268">
        <v>1</v>
      </c>
      <c r="E268" t="s">
        <v>27</v>
      </c>
      <c r="F268" t="s">
        <v>21</v>
      </c>
      <c r="G268">
        <v>3835</v>
      </c>
      <c r="H268">
        <v>1400</v>
      </c>
      <c r="I268">
        <v>112</v>
      </c>
      <c r="J268">
        <v>480</v>
      </c>
      <c r="K268">
        <v>0</v>
      </c>
      <c r="L268" t="s">
        <v>22</v>
      </c>
      <c r="M268">
        <f t="shared" si="20"/>
        <v>5235</v>
      </c>
      <c r="N268">
        <f t="shared" si="21"/>
        <v>4156</v>
      </c>
      <c r="O268">
        <f t="shared" si="22"/>
        <v>5205</v>
      </c>
      <c r="P268">
        <f t="shared" si="23"/>
        <v>6980</v>
      </c>
      <c r="Q268" s="1" t="str">
        <f t="shared" si="24"/>
        <v>High</v>
      </c>
    </row>
    <row r="269" spans="1:17">
      <c r="A269" t="s">
        <v>294</v>
      </c>
      <c r="B269" t="s">
        <v>30</v>
      </c>
      <c r="C269" t="s">
        <v>21</v>
      </c>
      <c r="D269">
        <v>1</v>
      </c>
      <c r="E269" t="s">
        <v>27</v>
      </c>
      <c r="F269" t="s">
        <v>21</v>
      </c>
      <c r="G269">
        <v>3854</v>
      </c>
      <c r="H269">
        <v>3575</v>
      </c>
      <c r="I269">
        <v>117</v>
      </c>
      <c r="J269">
        <v>360</v>
      </c>
      <c r="K269">
        <v>1</v>
      </c>
      <c r="L269" t="s">
        <v>33</v>
      </c>
      <c r="M269">
        <f t="shared" si="20"/>
        <v>7429</v>
      </c>
      <c r="N269">
        <f t="shared" si="21"/>
        <v>4156</v>
      </c>
      <c r="O269">
        <f t="shared" si="22"/>
        <v>5205</v>
      </c>
      <c r="P269">
        <f t="shared" si="23"/>
        <v>6980</v>
      </c>
      <c r="Q269" s="1" t="str">
        <f t="shared" si="24"/>
        <v>Very High</v>
      </c>
    </row>
    <row r="270" spans="1:17">
      <c r="A270" t="s">
        <v>295</v>
      </c>
      <c r="B270" t="s">
        <v>18</v>
      </c>
      <c r="C270" t="s">
        <v>19</v>
      </c>
      <c r="D270">
        <v>2</v>
      </c>
      <c r="E270" t="s">
        <v>20</v>
      </c>
      <c r="F270" t="s">
        <v>21</v>
      </c>
      <c r="G270">
        <v>5833</v>
      </c>
      <c r="H270">
        <v>750</v>
      </c>
      <c r="I270">
        <v>49</v>
      </c>
      <c r="J270">
        <v>360</v>
      </c>
      <c r="K270">
        <v>0</v>
      </c>
      <c r="L270" t="s">
        <v>33</v>
      </c>
      <c r="M270">
        <f t="shared" si="20"/>
        <v>6583</v>
      </c>
      <c r="N270">
        <f t="shared" si="21"/>
        <v>4156</v>
      </c>
      <c r="O270">
        <f t="shared" si="22"/>
        <v>5205</v>
      </c>
      <c r="P270">
        <f t="shared" si="23"/>
        <v>6980</v>
      </c>
      <c r="Q270" s="1" t="str">
        <f t="shared" si="24"/>
        <v>High</v>
      </c>
    </row>
    <row r="271" spans="1:17">
      <c r="A271" t="s">
        <v>296</v>
      </c>
      <c r="B271" t="s">
        <v>18</v>
      </c>
      <c r="C271" t="s">
        <v>21</v>
      </c>
      <c r="D271">
        <v>0</v>
      </c>
      <c r="E271" t="s">
        <v>20</v>
      </c>
      <c r="F271" t="s">
        <v>21</v>
      </c>
      <c r="G271">
        <v>3508</v>
      </c>
      <c r="H271">
        <v>0</v>
      </c>
      <c r="I271">
        <v>99</v>
      </c>
      <c r="J271">
        <v>360</v>
      </c>
      <c r="K271">
        <v>1</v>
      </c>
      <c r="L271" t="s">
        <v>33</v>
      </c>
      <c r="M271">
        <f t="shared" si="20"/>
        <v>3508</v>
      </c>
      <c r="N271">
        <f t="shared" si="21"/>
        <v>4156</v>
      </c>
      <c r="O271">
        <f t="shared" si="22"/>
        <v>5205</v>
      </c>
      <c r="P271">
        <f t="shared" si="23"/>
        <v>6980</v>
      </c>
      <c r="Q271" s="1" t="str">
        <f t="shared" si="24"/>
        <v>Low</v>
      </c>
    </row>
    <row r="272" spans="1:17">
      <c r="A272" t="s">
        <v>297</v>
      </c>
      <c r="B272" t="s">
        <v>30</v>
      </c>
      <c r="C272" t="s">
        <v>19</v>
      </c>
      <c r="D272">
        <v>3</v>
      </c>
      <c r="E272" t="s">
        <v>27</v>
      </c>
      <c r="F272" t="s">
        <v>21</v>
      </c>
      <c r="G272">
        <v>1635</v>
      </c>
      <c r="H272">
        <v>2444</v>
      </c>
      <c r="I272">
        <v>99</v>
      </c>
      <c r="J272">
        <v>360</v>
      </c>
      <c r="K272">
        <v>1</v>
      </c>
      <c r="L272" t="s">
        <v>22</v>
      </c>
      <c r="M272">
        <f t="shared" si="20"/>
        <v>4079</v>
      </c>
      <c r="N272">
        <f t="shared" si="21"/>
        <v>4156</v>
      </c>
      <c r="O272">
        <f t="shared" si="22"/>
        <v>5205</v>
      </c>
      <c r="P272">
        <f t="shared" si="23"/>
        <v>6980</v>
      </c>
      <c r="Q272" s="1" t="str">
        <f t="shared" si="24"/>
        <v>Low</v>
      </c>
    </row>
    <row r="273" spans="1:17">
      <c r="A273" t="s">
        <v>298</v>
      </c>
      <c r="B273" t="s">
        <v>30</v>
      </c>
      <c r="C273" t="s">
        <v>21</v>
      </c>
      <c r="D273">
        <v>0</v>
      </c>
      <c r="E273" t="s">
        <v>20</v>
      </c>
      <c r="F273" t="s">
        <v>19</v>
      </c>
      <c r="G273">
        <v>3333</v>
      </c>
      <c r="H273">
        <v>3916</v>
      </c>
      <c r="I273">
        <v>212</v>
      </c>
      <c r="J273">
        <v>360</v>
      </c>
      <c r="K273">
        <v>1</v>
      </c>
      <c r="L273" t="s">
        <v>33</v>
      </c>
      <c r="M273">
        <f t="shared" si="20"/>
        <v>7249</v>
      </c>
      <c r="N273">
        <f t="shared" si="21"/>
        <v>4156</v>
      </c>
      <c r="O273">
        <f t="shared" si="22"/>
        <v>5205</v>
      </c>
      <c r="P273">
        <f t="shared" si="23"/>
        <v>6980</v>
      </c>
      <c r="Q273" s="1" t="str">
        <f t="shared" si="24"/>
        <v>Very High</v>
      </c>
    </row>
    <row r="274" spans="1:17">
      <c r="A274" t="s">
        <v>299</v>
      </c>
      <c r="B274" t="s">
        <v>18</v>
      </c>
      <c r="C274" t="s">
        <v>21</v>
      </c>
      <c r="D274">
        <v>1</v>
      </c>
      <c r="E274" t="s">
        <v>20</v>
      </c>
      <c r="F274" t="s">
        <v>21</v>
      </c>
      <c r="G274">
        <v>24797</v>
      </c>
      <c r="H274">
        <v>0</v>
      </c>
      <c r="I274">
        <v>240</v>
      </c>
      <c r="J274">
        <v>360</v>
      </c>
      <c r="K274">
        <v>1</v>
      </c>
      <c r="L274" t="s">
        <v>31</v>
      </c>
      <c r="M274">
        <f t="shared" si="20"/>
        <v>24797</v>
      </c>
      <c r="N274">
        <f t="shared" si="21"/>
        <v>4156</v>
      </c>
      <c r="O274">
        <f t="shared" si="22"/>
        <v>5205</v>
      </c>
      <c r="P274">
        <f t="shared" si="23"/>
        <v>6980</v>
      </c>
      <c r="Q274" s="1" t="str">
        <f t="shared" si="24"/>
        <v>Very High</v>
      </c>
    </row>
    <row r="275" spans="1:17">
      <c r="A275" t="s">
        <v>300</v>
      </c>
      <c r="B275" t="s">
        <v>18</v>
      </c>
      <c r="C275" t="s">
        <v>19</v>
      </c>
      <c r="D275">
        <v>2</v>
      </c>
      <c r="E275" t="s">
        <v>20</v>
      </c>
      <c r="F275" t="s">
        <v>21</v>
      </c>
      <c r="G275">
        <v>5667</v>
      </c>
      <c r="H275">
        <v>440</v>
      </c>
      <c r="I275">
        <v>130</v>
      </c>
      <c r="J275">
        <v>360</v>
      </c>
      <c r="K275">
        <v>0</v>
      </c>
      <c r="L275" t="s">
        <v>31</v>
      </c>
      <c r="M275">
        <f t="shared" si="20"/>
        <v>6107</v>
      </c>
      <c r="N275">
        <f t="shared" si="21"/>
        <v>4156</v>
      </c>
      <c r="O275">
        <f t="shared" si="22"/>
        <v>5205</v>
      </c>
      <c r="P275">
        <f t="shared" si="23"/>
        <v>6980</v>
      </c>
      <c r="Q275" s="1" t="str">
        <f t="shared" si="24"/>
        <v>High</v>
      </c>
    </row>
    <row r="276" spans="1:17">
      <c r="A276" t="s">
        <v>301</v>
      </c>
      <c r="B276" t="s">
        <v>30</v>
      </c>
      <c r="C276" t="s">
        <v>21</v>
      </c>
      <c r="D276">
        <v>0</v>
      </c>
      <c r="E276" t="s">
        <v>20</v>
      </c>
      <c r="F276" t="s">
        <v>21</v>
      </c>
      <c r="G276">
        <v>3500</v>
      </c>
      <c r="H276">
        <v>0</v>
      </c>
      <c r="I276">
        <v>94</v>
      </c>
      <c r="J276">
        <v>360</v>
      </c>
      <c r="K276">
        <v>0</v>
      </c>
      <c r="L276" t="s">
        <v>31</v>
      </c>
      <c r="M276">
        <f t="shared" si="20"/>
        <v>3500</v>
      </c>
      <c r="N276">
        <f t="shared" si="21"/>
        <v>4156</v>
      </c>
      <c r="O276">
        <f t="shared" si="22"/>
        <v>5205</v>
      </c>
      <c r="P276">
        <f t="shared" si="23"/>
        <v>6980</v>
      </c>
      <c r="Q276" s="1" t="str">
        <f t="shared" si="24"/>
        <v>Low</v>
      </c>
    </row>
    <row r="277" spans="1:17">
      <c r="A277" t="s">
        <v>302</v>
      </c>
      <c r="B277" t="s">
        <v>18</v>
      </c>
      <c r="C277" t="s">
        <v>19</v>
      </c>
      <c r="D277">
        <v>3</v>
      </c>
      <c r="E277" t="s">
        <v>20</v>
      </c>
      <c r="F277" t="s">
        <v>21</v>
      </c>
      <c r="G277">
        <v>2773</v>
      </c>
      <c r="H277">
        <v>1497</v>
      </c>
      <c r="I277">
        <v>108</v>
      </c>
      <c r="J277">
        <v>360</v>
      </c>
      <c r="K277">
        <v>1</v>
      </c>
      <c r="L277" t="s">
        <v>31</v>
      </c>
      <c r="M277">
        <f t="shared" si="20"/>
        <v>4270</v>
      </c>
      <c r="N277">
        <f t="shared" si="21"/>
        <v>4156</v>
      </c>
      <c r="O277">
        <f t="shared" si="22"/>
        <v>5205</v>
      </c>
      <c r="P277">
        <f t="shared" si="23"/>
        <v>6980</v>
      </c>
      <c r="Q277" s="1" t="str">
        <f t="shared" si="24"/>
        <v>Medium</v>
      </c>
    </row>
    <row r="278" spans="1:17">
      <c r="A278" t="s">
        <v>303</v>
      </c>
      <c r="B278" t="s">
        <v>18</v>
      </c>
      <c r="C278" t="s">
        <v>19</v>
      </c>
      <c r="D278">
        <v>0</v>
      </c>
      <c r="E278" t="s">
        <v>20</v>
      </c>
      <c r="F278" t="s">
        <v>35</v>
      </c>
      <c r="G278">
        <v>6500</v>
      </c>
      <c r="H278">
        <v>0</v>
      </c>
      <c r="I278">
        <v>144</v>
      </c>
      <c r="J278">
        <v>360</v>
      </c>
      <c r="K278">
        <v>1</v>
      </c>
      <c r="L278" t="s">
        <v>22</v>
      </c>
      <c r="M278">
        <f t="shared" si="20"/>
        <v>6500</v>
      </c>
      <c r="N278">
        <f t="shared" si="21"/>
        <v>4156</v>
      </c>
      <c r="O278">
        <f t="shared" si="22"/>
        <v>5205</v>
      </c>
      <c r="P278">
        <f t="shared" si="23"/>
        <v>6980</v>
      </c>
      <c r="Q278" s="1" t="str">
        <f t="shared" si="24"/>
        <v>High</v>
      </c>
    </row>
    <row r="279" spans="1:17">
      <c r="A279" t="s">
        <v>304</v>
      </c>
      <c r="B279" t="s">
        <v>30</v>
      </c>
      <c r="C279" t="s">
        <v>21</v>
      </c>
      <c r="D279">
        <v>0</v>
      </c>
      <c r="E279" t="s">
        <v>20</v>
      </c>
      <c r="F279" t="s">
        <v>21</v>
      </c>
      <c r="G279">
        <v>5769</v>
      </c>
      <c r="H279">
        <v>0</v>
      </c>
      <c r="I279">
        <v>110</v>
      </c>
      <c r="J279">
        <v>180</v>
      </c>
      <c r="K279">
        <v>1</v>
      </c>
      <c r="L279" t="s">
        <v>31</v>
      </c>
      <c r="M279">
        <f t="shared" si="20"/>
        <v>5769</v>
      </c>
      <c r="N279">
        <f t="shared" si="21"/>
        <v>4156</v>
      </c>
      <c r="O279">
        <f t="shared" si="22"/>
        <v>5205</v>
      </c>
      <c r="P279">
        <f t="shared" si="23"/>
        <v>6980</v>
      </c>
      <c r="Q279" s="1" t="str">
        <f t="shared" si="24"/>
        <v>High</v>
      </c>
    </row>
    <row r="280" spans="1:17">
      <c r="A280" t="s">
        <v>305</v>
      </c>
      <c r="B280" t="s">
        <v>18</v>
      </c>
      <c r="C280" t="s">
        <v>19</v>
      </c>
      <c r="D280">
        <v>3</v>
      </c>
      <c r="E280" t="s">
        <v>27</v>
      </c>
      <c r="F280" t="s">
        <v>35</v>
      </c>
      <c r="G280">
        <v>3634</v>
      </c>
      <c r="H280">
        <v>910</v>
      </c>
      <c r="I280">
        <v>176</v>
      </c>
      <c r="J280">
        <v>360</v>
      </c>
      <c r="K280">
        <v>0</v>
      </c>
      <c r="L280" t="s">
        <v>31</v>
      </c>
      <c r="M280">
        <f t="shared" si="20"/>
        <v>4544</v>
      </c>
      <c r="N280">
        <f t="shared" si="21"/>
        <v>4156</v>
      </c>
      <c r="O280">
        <f t="shared" si="22"/>
        <v>5205</v>
      </c>
      <c r="P280">
        <f t="shared" si="23"/>
        <v>6980</v>
      </c>
      <c r="Q280" s="1" t="str">
        <f t="shared" si="24"/>
        <v>Medium</v>
      </c>
    </row>
    <row r="281" spans="1:17">
      <c r="A281" t="s">
        <v>306</v>
      </c>
      <c r="B281" t="s">
        <v>35</v>
      </c>
      <c r="C281" t="s">
        <v>21</v>
      </c>
      <c r="D281">
        <v>0</v>
      </c>
      <c r="E281" t="s">
        <v>20</v>
      </c>
      <c r="F281" t="s">
        <v>21</v>
      </c>
      <c r="G281">
        <v>29167</v>
      </c>
      <c r="H281">
        <v>0</v>
      </c>
      <c r="I281">
        <v>185</v>
      </c>
      <c r="J281">
        <v>360</v>
      </c>
      <c r="K281">
        <v>1</v>
      </c>
      <c r="L281" t="s">
        <v>31</v>
      </c>
      <c r="M281">
        <f t="shared" si="20"/>
        <v>29167</v>
      </c>
      <c r="N281">
        <f t="shared" si="21"/>
        <v>4156</v>
      </c>
      <c r="O281">
        <f t="shared" si="22"/>
        <v>5205</v>
      </c>
      <c r="P281">
        <f t="shared" si="23"/>
        <v>6980</v>
      </c>
      <c r="Q281" s="1" t="str">
        <f t="shared" si="24"/>
        <v>Very High</v>
      </c>
    </row>
    <row r="282" spans="1:17">
      <c r="A282" t="s">
        <v>307</v>
      </c>
      <c r="B282" t="s">
        <v>18</v>
      </c>
      <c r="C282" t="s">
        <v>21</v>
      </c>
      <c r="D282">
        <v>0</v>
      </c>
      <c r="E282" t="s">
        <v>20</v>
      </c>
      <c r="F282" t="s">
        <v>21</v>
      </c>
      <c r="G282">
        <v>2166</v>
      </c>
      <c r="H282">
        <v>2057</v>
      </c>
      <c r="I282">
        <v>122</v>
      </c>
      <c r="J282">
        <v>360</v>
      </c>
      <c r="K282">
        <v>1</v>
      </c>
      <c r="L282" t="s">
        <v>31</v>
      </c>
      <c r="M282">
        <f t="shared" si="20"/>
        <v>4223</v>
      </c>
      <c r="N282">
        <f t="shared" si="21"/>
        <v>4156</v>
      </c>
      <c r="O282">
        <f t="shared" si="22"/>
        <v>5205</v>
      </c>
      <c r="P282">
        <f t="shared" si="23"/>
        <v>6980</v>
      </c>
      <c r="Q282" s="1" t="str">
        <f t="shared" si="24"/>
        <v>Medium</v>
      </c>
    </row>
    <row r="283" spans="1:17">
      <c r="A283" t="s">
        <v>308</v>
      </c>
      <c r="B283" t="s">
        <v>18</v>
      </c>
      <c r="C283" t="s">
        <v>19</v>
      </c>
      <c r="D283">
        <v>0</v>
      </c>
      <c r="E283" t="s">
        <v>20</v>
      </c>
      <c r="F283" t="s">
        <v>21</v>
      </c>
      <c r="G283">
        <v>5000</v>
      </c>
      <c r="H283">
        <v>0</v>
      </c>
      <c r="I283">
        <v>126</v>
      </c>
      <c r="J283">
        <v>360</v>
      </c>
      <c r="K283">
        <v>1</v>
      </c>
      <c r="L283" t="s">
        <v>33</v>
      </c>
      <c r="M283">
        <f t="shared" si="20"/>
        <v>5000</v>
      </c>
      <c r="N283">
        <f t="shared" si="21"/>
        <v>4156</v>
      </c>
      <c r="O283">
        <f t="shared" si="22"/>
        <v>5205</v>
      </c>
      <c r="P283">
        <f t="shared" si="23"/>
        <v>6980</v>
      </c>
      <c r="Q283" s="1" t="str">
        <f t="shared" si="24"/>
        <v>Medium</v>
      </c>
    </row>
    <row r="284" spans="1:17">
      <c r="A284" t="s">
        <v>309</v>
      </c>
      <c r="B284" t="s">
        <v>30</v>
      </c>
      <c r="C284" t="s">
        <v>21</v>
      </c>
      <c r="D284">
        <v>0</v>
      </c>
      <c r="E284" t="s">
        <v>20</v>
      </c>
      <c r="F284" t="s">
        <v>21</v>
      </c>
      <c r="G284">
        <v>5530</v>
      </c>
      <c r="H284">
        <v>0</v>
      </c>
      <c r="I284">
        <v>135</v>
      </c>
      <c r="J284">
        <v>360</v>
      </c>
      <c r="L284" t="s">
        <v>22</v>
      </c>
      <c r="M284">
        <f t="shared" si="20"/>
        <v>5530</v>
      </c>
      <c r="N284">
        <f t="shared" si="21"/>
        <v>4156</v>
      </c>
      <c r="O284">
        <f t="shared" si="22"/>
        <v>5205</v>
      </c>
      <c r="P284">
        <f t="shared" si="23"/>
        <v>6980</v>
      </c>
      <c r="Q284" s="1" t="str">
        <f t="shared" si="24"/>
        <v>High</v>
      </c>
    </row>
    <row r="285" spans="1:17">
      <c r="A285" t="s">
        <v>310</v>
      </c>
      <c r="B285" t="s">
        <v>18</v>
      </c>
      <c r="C285" t="s">
        <v>21</v>
      </c>
      <c r="D285">
        <v>0</v>
      </c>
      <c r="E285" t="s">
        <v>27</v>
      </c>
      <c r="F285" t="s">
        <v>21</v>
      </c>
      <c r="G285">
        <v>9000</v>
      </c>
      <c r="H285">
        <v>0</v>
      </c>
      <c r="I285">
        <v>122</v>
      </c>
      <c r="J285">
        <v>360</v>
      </c>
      <c r="K285">
        <v>1</v>
      </c>
      <c r="L285" t="s">
        <v>33</v>
      </c>
      <c r="M285">
        <f t="shared" si="20"/>
        <v>9000</v>
      </c>
      <c r="N285">
        <f t="shared" si="21"/>
        <v>4156</v>
      </c>
      <c r="O285">
        <f t="shared" si="22"/>
        <v>5205</v>
      </c>
      <c r="P285">
        <f t="shared" si="23"/>
        <v>6980</v>
      </c>
      <c r="Q285" s="1" t="str">
        <f t="shared" si="24"/>
        <v>Very High</v>
      </c>
    </row>
    <row r="286" spans="1:17">
      <c r="A286" t="s">
        <v>311</v>
      </c>
      <c r="B286" t="s">
        <v>30</v>
      </c>
      <c r="C286" t="s">
        <v>19</v>
      </c>
      <c r="D286">
        <v>2</v>
      </c>
      <c r="E286" t="s">
        <v>20</v>
      </c>
      <c r="F286" t="s">
        <v>21</v>
      </c>
      <c r="G286">
        <v>10000</v>
      </c>
      <c r="H286">
        <v>11666</v>
      </c>
      <c r="I286">
        <v>460</v>
      </c>
      <c r="J286">
        <v>360</v>
      </c>
      <c r="K286">
        <v>1</v>
      </c>
      <c r="L286" t="s">
        <v>22</v>
      </c>
      <c r="M286">
        <f t="shared" si="20"/>
        <v>21666</v>
      </c>
      <c r="N286">
        <f t="shared" si="21"/>
        <v>4156</v>
      </c>
      <c r="O286">
        <f t="shared" si="22"/>
        <v>5205</v>
      </c>
      <c r="P286">
        <f t="shared" si="23"/>
        <v>6980</v>
      </c>
      <c r="Q286" s="1" t="str">
        <f t="shared" si="24"/>
        <v>Very High</v>
      </c>
    </row>
    <row r="287" spans="1:17">
      <c r="A287" t="s">
        <v>312</v>
      </c>
      <c r="B287" t="s">
        <v>18</v>
      </c>
      <c r="C287" t="s">
        <v>19</v>
      </c>
      <c r="D287">
        <v>1</v>
      </c>
      <c r="E287" t="s">
        <v>20</v>
      </c>
      <c r="F287" t="s">
        <v>35</v>
      </c>
      <c r="G287">
        <v>8750</v>
      </c>
      <c r="H287">
        <v>0</v>
      </c>
      <c r="I287">
        <v>297</v>
      </c>
      <c r="J287">
        <v>360</v>
      </c>
      <c r="K287">
        <v>1</v>
      </c>
      <c r="L287" t="s">
        <v>22</v>
      </c>
      <c r="M287">
        <f t="shared" si="20"/>
        <v>8750</v>
      </c>
      <c r="N287">
        <f t="shared" si="21"/>
        <v>4156</v>
      </c>
      <c r="O287">
        <f t="shared" si="22"/>
        <v>5205</v>
      </c>
      <c r="P287">
        <f t="shared" si="23"/>
        <v>6980</v>
      </c>
      <c r="Q287" s="1" t="str">
        <f t="shared" si="24"/>
        <v>Very High</v>
      </c>
    </row>
    <row r="288" spans="1:17">
      <c r="A288" t="s">
        <v>313</v>
      </c>
      <c r="B288" t="s">
        <v>18</v>
      </c>
      <c r="C288" t="s">
        <v>19</v>
      </c>
      <c r="D288">
        <v>0</v>
      </c>
      <c r="E288" t="s">
        <v>27</v>
      </c>
      <c r="F288" t="s">
        <v>21</v>
      </c>
      <c r="G288">
        <v>2157</v>
      </c>
      <c r="H288">
        <v>2730</v>
      </c>
      <c r="I288">
        <v>140</v>
      </c>
      <c r="J288">
        <v>360</v>
      </c>
      <c r="L288" t="s">
        <v>33</v>
      </c>
      <c r="M288">
        <f t="shared" si="20"/>
        <v>4887</v>
      </c>
      <c r="N288">
        <f t="shared" si="21"/>
        <v>4156</v>
      </c>
      <c r="O288">
        <f t="shared" si="22"/>
        <v>5205</v>
      </c>
      <c r="P288">
        <f t="shared" si="23"/>
        <v>6980</v>
      </c>
      <c r="Q288" s="1" t="str">
        <f t="shared" si="24"/>
        <v>Medium</v>
      </c>
    </row>
    <row r="289" spans="1:17">
      <c r="A289" t="s">
        <v>314</v>
      </c>
      <c r="B289" t="s">
        <v>18</v>
      </c>
      <c r="C289" t="s">
        <v>21</v>
      </c>
      <c r="D289">
        <v>0</v>
      </c>
      <c r="E289" t="s">
        <v>20</v>
      </c>
      <c r="F289" t="s">
        <v>35</v>
      </c>
      <c r="G289">
        <v>1972</v>
      </c>
      <c r="H289">
        <v>4347</v>
      </c>
      <c r="I289">
        <v>106</v>
      </c>
      <c r="J289">
        <v>360</v>
      </c>
      <c r="K289">
        <v>1</v>
      </c>
      <c r="L289" t="s">
        <v>33</v>
      </c>
      <c r="M289">
        <f t="shared" si="20"/>
        <v>6319</v>
      </c>
      <c r="N289">
        <f t="shared" si="21"/>
        <v>4156</v>
      </c>
      <c r="O289">
        <f t="shared" si="22"/>
        <v>5205</v>
      </c>
      <c r="P289">
        <f t="shared" si="23"/>
        <v>6980</v>
      </c>
      <c r="Q289" s="1" t="str">
        <f t="shared" si="24"/>
        <v>High</v>
      </c>
    </row>
    <row r="290" spans="1:17">
      <c r="A290" t="s">
        <v>315</v>
      </c>
      <c r="B290" t="s">
        <v>18</v>
      </c>
      <c r="C290" t="s">
        <v>21</v>
      </c>
      <c r="D290">
        <v>0</v>
      </c>
      <c r="E290" t="s">
        <v>20</v>
      </c>
      <c r="F290" t="s">
        <v>21</v>
      </c>
      <c r="G290">
        <v>4983</v>
      </c>
      <c r="H290">
        <v>0</v>
      </c>
      <c r="I290">
        <v>141</v>
      </c>
      <c r="J290">
        <v>360</v>
      </c>
      <c r="K290">
        <v>1</v>
      </c>
      <c r="L290" t="s">
        <v>22</v>
      </c>
      <c r="M290">
        <f t="shared" si="20"/>
        <v>4983</v>
      </c>
      <c r="N290">
        <f t="shared" si="21"/>
        <v>4156</v>
      </c>
      <c r="O290">
        <f t="shared" si="22"/>
        <v>5205</v>
      </c>
      <c r="P290">
        <f t="shared" si="23"/>
        <v>6980</v>
      </c>
      <c r="Q290" s="1" t="str">
        <f t="shared" si="24"/>
        <v>Medium</v>
      </c>
    </row>
    <row r="291" spans="1:17">
      <c r="A291" t="s">
        <v>316</v>
      </c>
      <c r="B291" t="s">
        <v>18</v>
      </c>
      <c r="C291" t="s">
        <v>19</v>
      </c>
      <c r="D291">
        <v>1</v>
      </c>
      <c r="E291" t="s">
        <v>20</v>
      </c>
      <c r="F291" t="s">
        <v>21</v>
      </c>
      <c r="G291">
        <v>8333</v>
      </c>
      <c r="H291">
        <v>4000</v>
      </c>
      <c r="J291">
        <v>360</v>
      </c>
      <c r="K291">
        <v>1</v>
      </c>
      <c r="L291" t="s">
        <v>22</v>
      </c>
      <c r="M291">
        <f t="shared" si="20"/>
        <v>12333</v>
      </c>
      <c r="N291">
        <f t="shared" si="21"/>
        <v>4156</v>
      </c>
      <c r="O291">
        <f t="shared" si="22"/>
        <v>5205</v>
      </c>
      <c r="P291">
        <f t="shared" si="23"/>
        <v>6980</v>
      </c>
      <c r="Q291" s="1" t="str">
        <f t="shared" si="24"/>
        <v>Very High</v>
      </c>
    </row>
    <row r="292" spans="1:17">
      <c r="A292" t="s">
        <v>317</v>
      </c>
      <c r="B292" t="s">
        <v>18</v>
      </c>
      <c r="C292" t="s">
        <v>19</v>
      </c>
      <c r="D292">
        <v>0</v>
      </c>
      <c r="E292" t="s">
        <v>20</v>
      </c>
      <c r="F292" t="s">
        <v>21</v>
      </c>
      <c r="G292">
        <v>3667</v>
      </c>
      <c r="H292">
        <v>2000</v>
      </c>
      <c r="I292">
        <v>170</v>
      </c>
      <c r="J292">
        <v>360</v>
      </c>
      <c r="K292">
        <v>1</v>
      </c>
      <c r="L292" t="s">
        <v>31</v>
      </c>
      <c r="M292">
        <f t="shared" si="20"/>
        <v>5667</v>
      </c>
      <c r="N292">
        <f t="shared" si="21"/>
        <v>4156</v>
      </c>
      <c r="O292">
        <f t="shared" si="22"/>
        <v>5205</v>
      </c>
      <c r="P292">
        <f t="shared" si="23"/>
        <v>6980</v>
      </c>
      <c r="Q292" s="1" t="str">
        <f t="shared" si="24"/>
        <v>High</v>
      </c>
    </row>
    <row r="293" spans="1:17">
      <c r="A293" t="s">
        <v>318</v>
      </c>
      <c r="B293" t="s">
        <v>18</v>
      </c>
      <c r="C293" t="s">
        <v>19</v>
      </c>
      <c r="D293">
        <v>2</v>
      </c>
      <c r="E293" t="s">
        <v>20</v>
      </c>
      <c r="F293" t="s">
        <v>21</v>
      </c>
      <c r="G293">
        <v>3166</v>
      </c>
      <c r="H293">
        <v>2833</v>
      </c>
      <c r="I293">
        <v>145</v>
      </c>
      <c r="J293">
        <v>360</v>
      </c>
      <c r="K293">
        <v>1</v>
      </c>
      <c r="L293" t="s">
        <v>22</v>
      </c>
      <c r="M293">
        <f t="shared" si="20"/>
        <v>5999</v>
      </c>
      <c r="N293">
        <f t="shared" si="21"/>
        <v>4156</v>
      </c>
      <c r="O293">
        <f t="shared" si="22"/>
        <v>5205</v>
      </c>
      <c r="P293">
        <f t="shared" si="23"/>
        <v>6980</v>
      </c>
      <c r="Q293" s="1" t="str">
        <f t="shared" si="24"/>
        <v>High</v>
      </c>
    </row>
    <row r="294" spans="1:17">
      <c r="A294" t="s">
        <v>319</v>
      </c>
      <c r="B294" t="s">
        <v>18</v>
      </c>
      <c r="C294" t="s">
        <v>21</v>
      </c>
      <c r="D294">
        <v>0</v>
      </c>
      <c r="E294" t="s">
        <v>27</v>
      </c>
      <c r="F294" t="s">
        <v>21</v>
      </c>
      <c r="G294">
        <v>3271</v>
      </c>
      <c r="H294">
        <v>0</v>
      </c>
      <c r="I294">
        <v>90</v>
      </c>
      <c r="J294">
        <v>360</v>
      </c>
      <c r="K294">
        <v>1</v>
      </c>
      <c r="L294" t="s">
        <v>33</v>
      </c>
      <c r="M294">
        <f t="shared" si="20"/>
        <v>3271</v>
      </c>
      <c r="N294">
        <f t="shared" si="21"/>
        <v>4156</v>
      </c>
      <c r="O294">
        <f t="shared" si="22"/>
        <v>5205</v>
      </c>
      <c r="P294">
        <f t="shared" si="23"/>
        <v>6980</v>
      </c>
      <c r="Q294" s="1" t="str">
        <f t="shared" si="24"/>
        <v>Low</v>
      </c>
    </row>
    <row r="295" spans="1:17">
      <c r="A295" t="s">
        <v>320</v>
      </c>
      <c r="B295" t="s">
        <v>30</v>
      </c>
      <c r="C295" t="s">
        <v>19</v>
      </c>
      <c r="D295">
        <v>0</v>
      </c>
      <c r="E295" t="s">
        <v>20</v>
      </c>
      <c r="F295" t="s">
        <v>21</v>
      </c>
      <c r="G295">
        <v>2241</v>
      </c>
      <c r="H295">
        <v>2000</v>
      </c>
      <c r="I295">
        <v>88</v>
      </c>
      <c r="J295">
        <v>360</v>
      </c>
      <c r="K295">
        <v>0</v>
      </c>
      <c r="L295" t="s">
        <v>22</v>
      </c>
      <c r="M295">
        <f t="shared" si="20"/>
        <v>4241</v>
      </c>
      <c r="N295">
        <f t="shared" si="21"/>
        <v>4156</v>
      </c>
      <c r="O295">
        <f t="shared" si="22"/>
        <v>5205</v>
      </c>
      <c r="P295">
        <f t="shared" si="23"/>
        <v>6980</v>
      </c>
      <c r="Q295" s="1" t="str">
        <f t="shared" si="24"/>
        <v>Medium</v>
      </c>
    </row>
    <row r="296" spans="1:17">
      <c r="A296" t="s">
        <v>321</v>
      </c>
      <c r="B296" t="s">
        <v>18</v>
      </c>
      <c r="C296" t="s">
        <v>19</v>
      </c>
      <c r="D296">
        <v>1</v>
      </c>
      <c r="E296" t="s">
        <v>27</v>
      </c>
      <c r="F296" t="s">
        <v>35</v>
      </c>
      <c r="G296">
        <v>1792</v>
      </c>
      <c r="H296">
        <v>2565</v>
      </c>
      <c r="I296">
        <v>128</v>
      </c>
      <c r="J296">
        <v>360</v>
      </c>
      <c r="K296">
        <v>1</v>
      </c>
      <c r="L296" t="s">
        <v>22</v>
      </c>
      <c r="M296">
        <f t="shared" si="20"/>
        <v>4357</v>
      </c>
      <c r="N296">
        <f t="shared" si="21"/>
        <v>4156</v>
      </c>
      <c r="O296">
        <f t="shared" si="22"/>
        <v>5205</v>
      </c>
      <c r="P296">
        <f t="shared" si="23"/>
        <v>6980</v>
      </c>
      <c r="Q296" s="1" t="str">
        <f t="shared" si="24"/>
        <v>Medium</v>
      </c>
    </row>
    <row r="297" spans="1:17">
      <c r="A297" t="s">
        <v>322</v>
      </c>
      <c r="B297" t="s">
        <v>30</v>
      </c>
      <c r="C297" t="s">
        <v>19</v>
      </c>
      <c r="D297">
        <v>0</v>
      </c>
      <c r="E297" t="s">
        <v>20</v>
      </c>
      <c r="F297" t="s">
        <v>21</v>
      </c>
      <c r="G297">
        <v>2666</v>
      </c>
      <c r="H297">
        <v>0</v>
      </c>
      <c r="I297">
        <v>84</v>
      </c>
      <c r="J297">
        <v>480</v>
      </c>
      <c r="K297">
        <v>1</v>
      </c>
      <c r="L297" t="s">
        <v>31</v>
      </c>
      <c r="M297">
        <f t="shared" si="20"/>
        <v>2666</v>
      </c>
      <c r="N297">
        <f t="shared" si="21"/>
        <v>4156</v>
      </c>
      <c r="O297">
        <f t="shared" si="22"/>
        <v>5205</v>
      </c>
      <c r="P297">
        <f t="shared" si="23"/>
        <v>6980</v>
      </c>
      <c r="Q297" s="1" t="str">
        <f t="shared" si="24"/>
        <v>Low</v>
      </c>
    </row>
    <row r="298" spans="1:17">
      <c r="A298" t="s">
        <v>323</v>
      </c>
      <c r="B298" t="s">
        <v>35</v>
      </c>
      <c r="C298" t="s">
        <v>21</v>
      </c>
      <c r="D298">
        <v>0</v>
      </c>
      <c r="E298" t="s">
        <v>20</v>
      </c>
      <c r="F298" t="s">
        <v>21</v>
      </c>
      <c r="G298">
        <v>6478</v>
      </c>
      <c r="H298">
        <v>0</v>
      </c>
      <c r="I298">
        <v>108</v>
      </c>
      <c r="J298">
        <v>360</v>
      </c>
      <c r="K298">
        <v>1</v>
      </c>
      <c r="L298" t="s">
        <v>31</v>
      </c>
      <c r="M298">
        <f t="shared" si="20"/>
        <v>6478</v>
      </c>
      <c r="N298">
        <f t="shared" si="21"/>
        <v>4156</v>
      </c>
      <c r="O298">
        <f t="shared" si="22"/>
        <v>5205</v>
      </c>
      <c r="P298">
        <f t="shared" si="23"/>
        <v>6980</v>
      </c>
      <c r="Q298" s="1" t="str">
        <f t="shared" si="24"/>
        <v>High</v>
      </c>
    </row>
    <row r="299" spans="1:17">
      <c r="A299" t="s">
        <v>324</v>
      </c>
      <c r="B299" t="s">
        <v>18</v>
      </c>
      <c r="C299" t="s">
        <v>21</v>
      </c>
      <c r="D299">
        <v>0</v>
      </c>
      <c r="E299" t="s">
        <v>27</v>
      </c>
      <c r="F299" t="s">
        <v>35</v>
      </c>
      <c r="G299">
        <v>3808</v>
      </c>
      <c r="H299">
        <v>0</v>
      </c>
      <c r="I299">
        <v>83</v>
      </c>
      <c r="J299">
        <v>360</v>
      </c>
      <c r="K299">
        <v>1</v>
      </c>
      <c r="L299" t="s">
        <v>33</v>
      </c>
      <c r="M299">
        <f t="shared" si="20"/>
        <v>3808</v>
      </c>
      <c r="N299">
        <f t="shared" si="21"/>
        <v>4156</v>
      </c>
      <c r="O299">
        <f t="shared" si="22"/>
        <v>5205</v>
      </c>
      <c r="P299">
        <f t="shared" si="23"/>
        <v>6980</v>
      </c>
      <c r="Q299" s="1" t="str">
        <f t="shared" si="24"/>
        <v>Low</v>
      </c>
    </row>
    <row r="300" spans="1:17">
      <c r="A300" t="s">
        <v>325</v>
      </c>
      <c r="B300" t="s">
        <v>30</v>
      </c>
      <c r="C300" t="s">
        <v>19</v>
      </c>
      <c r="D300">
        <v>2</v>
      </c>
      <c r="E300" t="s">
        <v>27</v>
      </c>
      <c r="F300" t="s">
        <v>21</v>
      </c>
      <c r="G300">
        <v>3729</v>
      </c>
      <c r="H300">
        <v>0</v>
      </c>
      <c r="I300">
        <v>117</v>
      </c>
      <c r="J300">
        <v>360</v>
      </c>
      <c r="K300">
        <v>1</v>
      </c>
      <c r="L300" t="s">
        <v>31</v>
      </c>
      <c r="M300">
        <f t="shared" si="20"/>
        <v>3729</v>
      </c>
      <c r="N300">
        <f t="shared" si="21"/>
        <v>4156</v>
      </c>
      <c r="O300">
        <f t="shared" si="22"/>
        <v>5205</v>
      </c>
      <c r="P300">
        <f t="shared" si="23"/>
        <v>6980</v>
      </c>
      <c r="Q300" s="1" t="str">
        <f t="shared" si="24"/>
        <v>Low</v>
      </c>
    </row>
    <row r="301" spans="1:17">
      <c r="A301" t="s">
        <v>326</v>
      </c>
      <c r="B301" t="s">
        <v>18</v>
      </c>
      <c r="C301" t="s">
        <v>19</v>
      </c>
      <c r="D301">
        <v>2</v>
      </c>
      <c r="E301" t="s">
        <v>20</v>
      </c>
      <c r="F301" t="s">
        <v>21</v>
      </c>
      <c r="G301">
        <v>4120</v>
      </c>
      <c r="H301">
        <v>0</v>
      </c>
      <c r="I301">
        <v>128</v>
      </c>
      <c r="J301">
        <v>360</v>
      </c>
      <c r="K301">
        <v>1</v>
      </c>
      <c r="L301" t="s">
        <v>33</v>
      </c>
      <c r="M301">
        <f t="shared" si="20"/>
        <v>4120</v>
      </c>
      <c r="N301">
        <f t="shared" si="21"/>
        <v>4156</v>
      </c>
      <c r="O301">
        <f t="shared" si="22"/>
        <v>5205</v>
      </c>
      <c r="P301">
        <f t="shared" si="23"/>
        <v>6980</v>
      </c>
      <c r="Q301" s="1" t="str">
        <f t="shared" si="24"/>
        <v>Low</v>
      </c>
    </row>
    <row r="302" spans="1:17">
      <c r="A302" t="s">
        <v>327</v>
      </c>
      <c r="B302" t="s">
        <v>18</v>
      </c>
      <c r="C302" t="s">
        <v>19</v>
      </c>
      <c r="D302">
        <v>1</v>
      </c>
      <c r="E302" t="s">
        <v>20</v>
      </c>
      <c r="F302" t="s">
        <v>19</v>
      </c>
      <c r="G302">
        <v>7500</v>
      </c>
      <c r="H302">
        <v>0</v>
      </c>
      <c r="I302">
        <v>75</v>
      </c>
      <c r="J302">
        <v>360</v>
      </c>
      <c r="K302">
        <v>1</v>
      </c>
      <c r="L302" t="s">
        <v>22</v>
      </c>
      <c r="M302">
        <f t="shared" si="20"/>
        <v>7500</v>
      </c>
      <c r="N302">
        <f t="shared" si="21"/>
        <v>4156</v>
      </c>
      <c r="O302">
        <f t="shared" si="22"/>
        <v>5205</v>
      </c>
      <c r="P302">
        <f t="shared" si="23"/>
        <v>6980</v>
      </c>
      <c r="Q302" s="1" t="str">
        <f t="shared" si="24"/>
        <v>Very High</v>
      </c>
    </row>
    <row r="303" spans="1:17">
      <c r="A303" t="s">
        <v>328</v>
      </c>
      <c r="B303" t="s">
        <v>18</v>
      </c>
      <c r="C303" t="s">
        <v>19</v>
      </c>
      <c r="D303">
        <v>1</v>
      </c>
      <c r="E303" t="s">
        <v>20</v>
      </c>
      <c r="F303" t="s">
        <v>35</v>
      </c>
      <c r="G303">
        <v>6300</v>
      </c>
      <c r="H303">
        <v>0</v>
      </c>
      <c r="I303">
        <v>125</v>
      </c>
      <c r="J303">
        <v>360</v>
      </c>
      <c r="K303">
        <v>0</v>
      </c>
      <c r="L303" t="s">
        <v>22</v>
      </c>
      <c r="M303">
        <f t="shared" si="20"/>
        <v>6300</v>
      </c>
      <c r="N303">
        <f t="shared" si="21"/>
        <v>4156</v>
      </c>
      <c r="O303">
        <f t="shared" si="22"/>
        <v>5205</v>
      </c>
      <c r="P303">
        <f t="shared" si="23"/>
        <v>6980</v>
      </c>
      <c r="Q303" s="1" t="str">
        <f t="shared" si="24"/>
        <v>High</v>
      </c>
    </row>
    <row r="304" spans="1:17">
      <c r="A304" t="s">
        <v>329</v>
      </c>
      <c r="B304" t="s">
        <v>30</v>
      </c>
      <c r="C304" t="s">
        <v>21</v>
      </c>
      <c r="E304" t="s">
        <v>20</v>
      </c>
      <c r="F304" t="s">
        <v>19</v>
      </c>
      <c r="G304">
        <v>14987</v>
      </c>
      <c r="H304">
        <v>0</v>
      </c>
      <c r="I304">
        <v>177</v>
      </c>
      <c r="J304">
        <v>360</v>
      </c>
      <c r="K304">
        <v>1</v>
      </c>
      <c r="L304" t="s">
        <v>33</v>
      </c>
      <c r="M304">
        <f t="shared" si="20"/>
        <v>14987</v>
      </c>
      <c r="N304">
        <f t="shared" si="21"/>
        <v>4156</v>
      </c>
      <c r="O304">
        <f t="shared" si="22"/>
        <v>5205</v>
      </c>
      <c r="P304">
        <f t="shared" si="23"/>
        <v>6980</v>
      </c>
      <c r="Q304" s="1" t="str">
        <f t="shared" si="24"/>
        <v>Very High</v>
      </c>
    </row>
    <row r="305" spans="1:17">
      <c r="A305" t="s">
        <v>330</v>
      </c>
      <c r="B305" t="s">
        <v>35</v>
      </c>
      <c r="C305" t="s">
        <v>19</v>
      </c>
      <c r="D305">
        <v>1</v>
      </c>
      <c r="E305" t="s">
        <v>27</v>
      </c>
      <c r="F305" t="s">
        <v>19</v>
      </c>
      <c r="G305">
        <v>570</v>
      </c>
      <c r="H305">
        <v>2125</v>
      </c>
      <c r="I305">
        <v>68</v>
      </c>
      <c r="J305">
        <v>360</v>
      </c>
      <c r="K305">
        <v>1</v>
      </c>
      <c r="L305" t="s">
        <v>33</v>
      </c>
      <c r="M305">
        <f t="shared" si="20"/>
        <v>2695</v>
      </c>
      <c r="N305">
        <f t="shared" si="21"/>
        <v>4156</v>
      </c>
      <c r="O305">
        <f t="shared" si="22"/>
        <v>5205</v>
      </c>
      <c r="P305">
        <f t="shared" si="23"/>
        <v>6980</v>
      </c>
      <c r="Q305" s="1" t="str">
        <f t="shared" si="24"/>
        <v>Low</v>
      </c>
    </row>
    <row r="306" spans="1:17">
      <c r="A306" t="s">
        <v>331</v>
      </c>
      <c r="B306" t="s">
        <v>18</v>
      </c>
      <c r="C306" t="s">
        <v>19</v>
      </c>
      <c r="D306">
        <v>0</v>
      </c>
      <c r="E306" t="s">
        <v>20</v>
      </c>
      <c r="F306" t="s">
        <v>21</v>
      </c>
      <c r="G306">
        <v>2600</v>
      </c>
      <c r="H306">
        <v>700</v>
      </c>
      <c r="I306">
        <v>96</v>
      </c>
      <c r="J306">
        <v>360</v>
      </c>
      <c r="K306">
        <v>1</v>
      </c>
      <c r="L306" t="s">
        <v>31</v>
      </c>
      <c r="M306">
        <f t="shared" si="20"/>
        <v>3300</v>
      </c>
      <c r="N306">
        <f t="shared" si="21"/>
        <v>4156</v>
      </c>
      <c r="O306">
        <f t="shared" si="22"/>
        <v>5205</v>
      </c>
      <c r="P306">
        <f t="shared" si="23"/>
        <v>6980</v>
      </c>
      <c r="Q306" s="1" t="str">
        <f t="shared" si="24"/>
        <v>Low</v>
      </c>
    </row>
    <row r="307" spans="1:17">
      <c r="A307" t="s">
        <v>332</v>
      </c>
      <c r="B307" t="s">
        <v>18</v>
      </c>
      <c r="C307" t="s">
        <v>21</v>
      </c>
      <c r="D307">
        <v>2</v>
      </c>
      <c r="E307" t="s">
        <v>27</v>
      </c>
      <c r="F307" t="s">
        <v>21</v>
      </c>
      <c r="G307">
        <v>2733</v>
      </c>
      <c r="H307">
        <v>1083</v>
      </c>
      <c r="I307">
        <v>180</v>
      </c>
      <c r="J307">
        <v>360</v>
      </c>
      <c r="L307" t="s">
        <v>31</v>
      </c>
      <c r="M307">
        <f t="shared" si="20"/>
        <v>3816</v>
      </c>
      <c r="N307">
        <f t="shared" si="21"/>
        <v>4156</v>
      </c>
      <c r="O307">
        <f t="shared" si="22"/>
        <v>5205</v>
      </c>
      <c r="P307">
        <f t="shared" si="23"/>
        <v>6980</v>
      </c>
      <c r="Q307" s="1" t="str">
        <f t="shared" si="24"/>
        <v>Low</v>
      </c>
    </row>
    <row r="308" spans="1:17">
      <c r="A308" t="s">
        <v>333</v>
      </c>
      <c r="B308" t="s">
        <v>18</v>
      </c>
      <c r="C308" t="s">
        <v>19</v>
      </c>
      <c r="D308">
        <v>2</v>
      </c>
      <c r="E308" t="s">
        <v>20</v>
      </c>
      <c r="F308" t="s">
        <v>19</v>
      </c>
      <c r="G308">
        <v>7500</v>
      </c>
      <c r="H308">
        <v>0</v>
      </c>
      <c r="I308">
        <v>183</v>
      </c>
      <c r="J308">
        <v>360</v>
      </c>
      <c r="K308">
        <v>1</v>
      </c>
      <c r="L308" t="s">
        <v>33</v>
      </c>
      <c r="M308">
        <f t="shared" si="20"/>
        <v>7500</v>
      </c>
      <c r="N308">
        <f t="shared" si="21"/>
        <v>4156</v>
      </c>
      <c r="O308">
        <f t="shared" si="22"/>
        <v>5205</v>
      </c>
      <c r="P308">
        <f t="shared" si="23"/>
        <v>6980</v>
      </c>
      <c r="Q308" s="1" t="str">
        <f t="shared" si="24"/>
        <v>Very High</v>
      </c>
    </row>
    <row r="309" spans="1:17">
      <c r="A309" t="s">
        <v>334</v>
      </c>
      <c r="B309" t="s">
        <v>18</v>
      </c>
      <c r="C309" t="s">
        <v>19</v>
      </c>
      <c r="D309">
        <v>2</v>
      </c>
      <c r="E309" t="s">
        <v>27</v>
      </c>
      <c r="F309" t="s">
        <v>21</v>
      </c>
      <c r="G309">
        <v>3859</v>
      </c>
      <c r="H309">
        <v>0</v>
      </c>
      <c r="I309">
        <v>121</v>
      </c>
      <c r="J309">
        <v>360</v>
      </c>
      <c r="K309">
        <v>1</v>
      </c>
      <c r="L309" t="s">
        <v>33</v>
      </c>
      <c r="M309">
        <f t="shared" si="20"/>
        <v>3859</v>
      </c>
      <c r="N309">
        <f t="shared" si="21"/>
        <v>4156</v>
      </c>
      <c r="O309">
        <f t="shared" si="22"/>
        <v>5205</v>
      </c>
      <c r="P309">
        <f t="shared" si="23"/>
        <v>6980</v>
      </c>
      <c r="Q309" s="1" t="str">
        <f t="shared" si="24"/>
        <v>Low</v>
      </c>
    </row>
    <row r="310" spans="1:17">
      <c r="A310" t="s">
        <v>335</v>
      </c>
      <c r="B310" t="s">
        <v>18</v>
      </c>
      <c r="C310" t="s">
        <v>19</v>
      </c>
      <c r="D310">
        <v>1</v>
      </c>
      <c r="E310" t="s">
        <v>20</v>
      </c>
      <c r="F310" t="s">
        <v>21</v>
      </c>
      <c r="G310">
        <v>6825</v>
      </c>
      <c r="H310">
        <v>0</v>
      </c>
      <c r="I310">
        <v>162</v>
      </c>
      <c r="J310">
        <v>360</v>
      </c>
      <c r="K310">
        <v>1</v>
      </c>
      <c r="L310" t="s">
        <v>33</v>
      </c>
      <c r="M310">
        <f t="shared" si="20"/>
        <v>6825</v>
      </c>
      <c r="N310">
        <f t="shared" si="21"/>
        <v>4156</v>
      </c>
      <c r="O310">
        <f t="shared" si="22"/>
        <v>5205</v>
      </c>
      <c r="P310">
        <f t="shared" si="23"/>
        <v>6980</v>
      </c>
      <c r="Q310" s="1" t="str">
        <f t="shared" si="24"/>
        <v>High</v>
      </c>
    </row>
    <row r="311" spans="1:17">
      <c r="A311" t="s">
        <v>336</v>
      </c>
      <c r="B311" t="s">
        <v>18</v>
      </c>
      <c r="C311" t="s">
        <v>19</v>
      </c>
      <c r="D311">
        <v>0</v>
      </c>
      <c r="E311" t="s">
        <v>20</v>
      </c>
      <c r="F311" t="s">
        <v>21</v>
      </c>
      <c r="G311">
        <v>3708</v>
      </c>
      <c r="H311">
        <v>4700</v>
      </c>
      <c r="I311">
        <v>132</v>
      </c>
      <c r="J311">
        <v>360</v>
      </c>
      <c r="K311">
        <v>1</v>
      </c>
      <c r="L311" t="s">
        <v>31</v>
      </c>
      <c r="M311">
        <f t="shared" si="20"/>
        <v>8408</v>
      </c>
      <c r="N311">
        <f t="shared" si="21"/>
        <v>4156</v>
      </c>
      <c r="O311">
        <f t="shared" si="22"/>
        <v>5205</v>
      </c>
      <c r="P311">
        <f t="shared" si="23"/>
        <v>6980</v>
      </c>
      <c r="Q311" s="1" t="str">
        <f t="shared" si="24"/>
        <v>Very High</v>
      </c>
    </row>
    <row r="312" spans="1:17">
      <c r="A312" t="s">
        <v>337</v>
      </c>
      <c r="B312" t="s">
        <v>18</v>
      </c>
      <c r="C312" t="s">
        <v>21</v>
      </c>
      <c r="D312">
        <v>0</v>
      </c>
      <c r="E312" t="s">
        <v>20</v>
      </c>
      <c r="F312" t="s">
        <v>21</v>
      </c>
      <c r="G312">
        <v>5314</v>
      </c>
      <c r="H312">
        <v>0</v>
      </c>
      <c r="I312">
        <v>147</v>
      </c>
      <c r="J312">
        <v>360</v>
      </c>
      <c r="K312">
        <v>1</v>
      </c>
      <c r="L312" t="s">
        <v>22</v>
      </c>
      <c r="M312">
        <f t="shared" si="20"/>
        <v>5314</v>
      </c>
      <c r="N312">
        <f t="shared" si="21"/>
        <v>4156</v>
      </c>
      <c r="O312">
        <f t="shared" si="22"/>
        <v>5205</v>
      </c>
      <c r="P312">
        <f t="shared" si="23"/>
        <v>6980</v>
      </c>
      <c r="Q312" s="1" t="str">
        <f t="shared" si="24"/>
        <v>High</v>
      </c>
    </row>
    <row r="313" spans="1:17">
      <c r="A313" t="s">
        <v>338</v>
      </c>
      <c r="B313" t="s">
        <v>30</v>
      </c>
      <c r="C313" t="s">
        <v>21</v>
      </c>
      <c r="D313">
        <v>3</v>
      </c>
      <c r="E313" t="s">
        <v>20</v>
      </c>
      <c r="F313" t="s">
        <v>21</v>
      </c>
      <c r="G313">
        <v>2366</v>
      </c>
      <c r="H313">
        <v>5272</v>
      </c>
      <c r="I313">
        <v>153</v>
      </c>
      <c r="J313">
        <v>360</v>
      </c>
      <c r="K313">
        <v>0</v>
      </c>
      <c r="L313" t="s">
        <v>33</v>
      </c>
      <c r="M313">
        <f t="shared" si="20"/>
        <v>7638</v>
      </c>
      <c r="N313">
        <f t="shared" si="21"/>
        <v>4156</v>
      </c>
      <c r="O313">
        <f t="shared" si="22"/>
        <v>5205</v>
      </c>
      <c r="P313">
        <f t="shared" si="23"/>
        <v>6980</v>
      </c>
      <c r="Q313" s="1" t="str">
        <f t="shared" si="24"/>
        <v>Very High</v>
      </c>
    </row>
    <row r="314" spans="1:17">
      <c r="A314" t="s">
        <v>339</v>
      </c>
      <c r="B314" t="s">
        <v>18</v>
      </c>
      <c r="C314" t="s">
        <v>21</v>
      </c>
      <c r="E314" t="s">
        <v>20</v>
      </c>
      <c r="F314" t="s">
        <v>21</v>
      </c>
      <c r="G314">
        <v>2066</v>
      </c>
      <c r="H314">
        <v>2108</v>
      </c>
      <c r="I314">
        <v>104</v>
      </c>
      <c r="J314">
        <v>84</v>
      </c>
      <c r="K314">
        <v>1</v>
      </c>
      <c r="L314" t="s">
        <v>22</v>
      </c>
      <c r="M314">
        <f t="shared" si="20"/>
        <v>4174</v>
      </c>
      <c r="N314">
        <f t="shared" si="21"/>
        <v>4156</v>
      </c>
      <c r="O314">
        <f t="shared" si="22"/>
        <v>5205</v>
      </c>
      <c r="P314">
        <f t="shared" si="23"/>
        <v>6980</v>
      </c>
      <c r="Q314" s="1" t="str">
        <f t="shared" si="24"/>
        <v>Medium</v>
      </c>
    </row>
    <row r="315" spans="1:17">
      <c r="A315" t="s">
        <v>340</v>
      </c>
      <c r="B315" t="s">
        <v>18</v>
      </c>
      <c r="C315" t="s">
        <v>19</v>
      </c>
      <c r="D315">
        <v>2</v>
      </c>
      <c r="E315" t="s">
        <v>20</v>
      </c>
      <c r="F315" t="s">
        <v>21</v>
      </c>
      <c r="G315">
        <v>5000</v>
      </c>
      <c r="H315">
        <v>0</v>
      </c>
      <c r="I315">
        <v>149</v>
      </c>
      <c r="J315">
        <v>360</v>
      </c>
      <c r="K315">
        <v>1</v>
      </c>
      <c r="L315" t="s">
        <v>33</v>
      </c>
      <c r="M315">
        <f t="shared" si="20"/>
        <v>5000</v>
      </c>
      <c r="N315">
        <f t="shared" si="21"/>
        <v>4156</v>
      </c>
      <c r="O315">
        <f t="shared" si="22"/>
        <v>5205</v>
      </c>
      <c r="P315">
        <f t="shared" si="23"/>
        <v>6980</v>
      </c>
      <c r="Q315" s="1" t="str">
        <f t="shared" si="24"/>
        <v>Medium</v>
      </c>
    </row>
    <row r="316" spans="1:17">
      <c r="A316" t="s">
        <v>341</v>
      </c>
      <c r="B316" t="s">
        <v>30</v>
      </c>
      <c r="C316" t="s">
        <v>21</v>
      </c>
      <c r="D316">
        <v>0</v>
      </c>
      <c r="E316" t="s">
        <v>20</v>
      </c>
      <c r="F316" t="s">
        <v>21</v>
      </c>
      <c r="G316">
        <v>3767</v>
      </c>
      <c r="H316">
        <v>0</v>
      </c>
      <c r="I316">
        <v>134</v>
      </c>
      <c r="J316">
        <v>300</v>
      </c>
      <c r="K316">
        <v>1</v>
      </c>
      <c r="L316" t="s">
        <v>22</v>
      </c>
      <c r="M316">
        <f t="shared" si="20"/>
        <v>3767</v>
      </c>
      <c r="N316">
        <f t="shared" si="21"/>
        <v>4156</v>
      </c>
      <c r="O316">
        <f t="shared" si="22"/>
        <v>5205</v>
      </c>
      <c r="P316">
        <f t="shared" si="23"/>
        <v>6980</v>
      </c>
      <c r="Q316" s="1" t="str">
        <f t="shared" si="24"/>
        <v>Low</v>
      </c>
    </row>
    <row r="317" spans="1:17">
      <c r="A317" t="s">
        <v>342</v>
      </c>
      <c r="B317" t="s">
        <v>30</v>
      </c>
      <c r="C317" t="s">
        <v>19</v>
      </c>
      <c r="D317">
        <v>0</v>
      </c>
      <c r="E317" t="s">
        <v>20</v>
      </c>
      <c r="F317" t="s">
        <v>21</v>
      </c>
      <c r="G317">
        <v>7859</v>
      </c>
      <c r="H317">
        <v>879</v>
      </c>
      <c r="I317">
        <v>165</v>
      </c>
      <c r="J317">
        <v>180</v>
      </c>
      <c r="K317">
        <v>1</v>
      </c>
      <c r="L317" t="s">
        <v>31</v>
      </c>
      <c r="M317">
        <f t="shared" si="20"/>
        <v>8738</v>
      </c>
      <c r="N317">
        <f t="shared" si="21"/>
        <v>4156</v>
      </c>
      <c r="O317">
        <f t="shared" si="22"/>
        <v>5205</v>
      </c>
      <c r="P317">
        <f t="shared" si="23"/>
        <v>6980</v>
      </c>
      <c r="Q317" s="1" t="str">
        <f t="shared" si="24"/>
        <v>Very High</v>
      </c>
    </row>
    <row r="318" spans="1:17">
      <c r="A318" t="s">
        <v>343</v>
      </c>
      <c r="B318" t="s">
        <v>30</v>
      </c>
      <c r="C318" t="s">
        <v>19</v>
      </c>
      <c r="D318">
        <v>0</v>
      </c>
      <c r="E318" t="s">
        <v>20</v>
      </c>
      <c r="F318" t="s">
        <v>21</v>
      </c>
      <c r="G318">
        <v>4283</v>
      </c>
      <c r="H318">
        <v>0</v>
      </c>
      <c r="I318">
        <v>120</v>
      </c>
      <c r="J318">
        <v>360</v>
      </c>
      <c r="K318">
        <v>1</v>
      </c>
      <c r="L318" t="s">
        <v>33</v>
      </c>
      <c r="M318">
        <f t="shared" si="20"/>
        <v>4283</v>
      </c>
      <c r="N318">
        <f t="shared" si="21"/>
        <v>4156</v>
      </c>
      <c r="O318">
        <f t="shared" si="22"/>
        <v>5205</v>
      </c>
      <c r="P318">
        <f t="shared" si="23"/>
        <v>6980</v>
      </c>
      <c r="Q318" s="1" t="str">
        <f t="shared" si="24"/>
        <v>Medium</v>
      </c>
    </row>
    <row r="319" spans="1:17">
      <c r="A319" t="s">
        <v>344</v>
      </c>
      <c r="B319" t="s">
        <v>18</v>
      </c>
      <c r="C319" t="s">
        <v>19</v>
      </c>
      <c r="D319">
        <v>0</v>
      </c>
      <c r="E319" t="s">
        <v>27</v>
      </c>
      <c r="F319" t="s">
        <v>21</v>
      </c>
      <c r="G319">
        <v>1700</v>
      </c>
      <c r="H319">
        <v>2900</v>
      </c>
      <c r="I319">
        <v>67</v>
      </c>
      <c r="J319">
        <v>360</v>
      </c>
      <c r="K319">
        <v>0</v>
      </c>
      <c r="L319" t="s">
        <v>22</v>
      </c>
      <c r="M319">
        <f t="shared" si="20"/>
        <v>4600</v>
      </c>
      <c r="N319">
        <f t="shared" si="21"/>
        <v>4156</v>
      </c>
      <c r="O319">
        <f t="shared" si="22"/>
        <v>5205</v>
      </c>
      <c r="P319">
        <f t="shared" si="23"/>
        <v>6980</v>
      </c>
      <c r="Q319" s="1" t="str">
        <f t="shared" si="24"/>
        <v>Medium</v>
      </c>
    </row>
    <row r="320" spans="1:17">
      <c r="A320" t="s">
        <v>345</v>
      </c>
      <c r="B320" t="s">
        <v>35</v>
      </c>
      <c r="C320" t="s">
        <v>21</v>
      </c>
      <c r="D320">
        <v>0</v>
      </c>
      <c r="E320" t="s">
        <v>27</v>
      </c>
      <c r="F320" t="s">
        <v>21</v>
      </c>
      <c r="G320">
        <v>4768</v>
      </c>
      <c r="H320">
        <v>0</v>
      </c>
      <c r="I320">
        <v>125</v>
      </c>
      <c r="J320">
        <v>360</v>
      </c>
      <c r="K320">
        <v>1</v>
      </c>
      <c r="L320" t="s">
        <v>33</v>
      </c>
      <c r="M320">
        <f t="shared" si="20"/>
        <v>4768</v>
      </c>
      <c r="N320">
        <f t="shared" si="21"/>
        <v>4156</v>
      </c>
      <c r="O320">
        <f t="shared" si="22"/>
        <v>5205</v>
      </c>
      <c r="P320">
        <f t="shared" si="23"/>
        <v>6980</v>
      </c>
      <c r="Q320" s="1" t="str">
        <f t="shared" si="24"/>
        <v>Medium</v>
      </c>
    </row>
    <row r="321" spans="1:17">
      <c r="A321" t="s">
        <v>346</v>
      </c>
      <c r="B321" t="s">
        <v>18</v>
      </c>
      <c r="C321" t="s">
        <v>21</v>
      </c>
      <c r="D321">
        <v>0</v>
      </c>
      <c r="E321" t="s">
        <v>20</v>
      </c>
      <c r="F321" t="s">
        <v>21</v>
      </c>
      <c r="G321">
        <v>3083</v>
      </c>
      <c r="H321">
        <v>2738</v>
      </c>
      <c r="I321">
        <v>120</v>
      </c>
      <c r="J321">
        <v>360</v>
      </c>
      <c r="K321">
        <v>1</v>
      </c>
      <c r="L321" t="s">
        <v>22</v>
      </c>
      <c r="M321">
        <f t="shared" si="20"/>
        <v>5821</v>
      </c>
      <c r="N321">
        <f t="shared" si="21"/>
        <v>4156</v>
      </c>
      <c r="O321">
        <f t="shared" si="22"/>
        <v>5205</v>
      </c>
      <c r="P321">
        <f t="shared" si="23"/>
        <v>6980</v>
      </c>
      <c r="Q321" s="1" t="str">
        <f t="shared" si="24"/>
        <v>High</v>
      </c>
    </row>
    <row r="322" spans="1:17">
      <c r="A322" t="s">
        <v>347</v>
      </c>
      <c r="B322" t="s">
        <v>18</v>
      </c>
      <c r="C322" t="s">
        <v>19</v>
      </c>
      <c r="D322">
        <v>1</v>
      </c>
      <c r="E322" t="s">
        <v>20</v>
      </c>
      <c r="F322" t="s">
        <v>21</v>
      </c>
      <c r="G322">
        <v>2667</v>
      </c>
      <c r="H322">
        <v>1542</v>
      </c>
      <c r="I322">
        <v>148</v>
      </c>
      <c r="J322">
        <v>360</v>
      </c>
      <c r="K322">
        <v>1</v>
      </c>
      <c r="L322" t="s">
        <v>33</v>
      </c>
      <c r="M322">
        <f t="shared" ref="M322:M368" si="25">G322 + H322</f>
        <v>4209</v>
      </c>
      <c r="N322">
        <f t="shared" ref="N322:N385" si="26">PERCENTILE(M:M,0.25)</f>
        <v>4156</v>
      </c>
      <c r="O322">
        <f t="shared" ref="O322:O368" si="27">PERCENTILE(M:M,0.5)</f>
        <v>5205</v>
      </c>
      <c r="P322">
        <f t="shared" ref="P322:P368" si="28">PERCENTILE(M:M,0.75)</f>
        <v>6980</v>
      </c>
      <c r="Q322" s="1" t="str">
        <f t="shared" ref="Q322:Q368" si="29">IF(M322&lt;$N$2,"Low",IF(M322&lt;$O$2,"Medium",IF(M322&lt;$P$2,"High","Very High")))</f>
        <v>Medium</v>
      </c>
    </row>
    <row r="323" spans="1:17">
      <c r="A323" t="s">
        <v>348</v>
      </c>
      <c r="B323" t="s">
        <v>30</v>
      </c>
      <c r="C323" t="s">
        <v>19</v>
      </c>
      <c r="D323">
        <v>0</v>
      </c>
      <c r="E323" t="s">
        <v>27</v>
      </c>
      <c r="F323" t="s">
        <v>21</v>
      </c>
      <c r="G323">
        <v>1647</v>
      </c>
      <c r="H323">
        <v>1762</v>
      </c>
      <c r="I323">
        <v>181</v>
      </c>
      <c r="J323">
        <v>360</v>
      </c>
      <c r="K323">
        <v>1</v>
      </c>
      <c r="L323" t="s">
        <v>22</v>
      </c>
      <c r="M323">
        <f t="shared" si="25"/>
        <v>3409</v>
      </c>
      <c r="N323">
        <f t="shared" si="26"/>
        <v>4156</v>
      </c>
      <c r="O323">
        <f t="shared" si="27"/>
        <v>5205</v>
      </c>
      <c r="P323">
        <f t="shared" si="28"/>
        <v>6980</v>
      </c>
      <c r="Q323" s="1" t="str">
        <f t="shared" si="29"/>
        <v>Low</v>
      </c>
    </row>
    <row r="324" spans="1:17">
      <c r="A324" t="s">
        <v>349</v>
      </c>
      <c r="B324" t="s">
        <v>18</v>
      </c>
      <c r="C324" t="s">
        <v>19</v>
      </c>
      <c r="D324">
        <v>3</v>
      </c>
      <c r="E324" t="s">
        <v>20</v>
      </c>
      <c r="F324" t="s">
        <v>21</v>
      </c>
      <c r="G324">
        <v>3400</v>
      </c>
      <c r="H324">
        <v>0</v>
      </c>
      <c r="I324">
        <v>80</v>
      </c>
      <c r="J324">
        <v>120</v>
      </c>
      <c r="K324">
        <v>1</v>
      </c>
      <c r="L324" t="s">
        <v>22</v>
      </c>
      <c r="M324">
        <f t="shared" si="25"/>
        <v>3400</v>
      </c>
      <c r="N324">
        <f t="shared" si="26"/>
        <v>4156</v>
      </c>
      <c r="O324">
        <f t="shared" si="27"/>
        <v>5205</v>
      </c>
      <c r="P324">
        <f t="shared" si="28"/>
        <v>6980</v>
      </c>
      <c r="Q324" s="1" t="str">
        <f t="shared" si="29"/>
        <v>Low</v>
      </c>
    </row>
    <row r="325" spans="1:17">
      <c r="A325" t="s">
        <v>350</v>
      </c>
      <c r="B325" t="s">
        <v>18</v>
      </c>
      <c r="C325" t="s">
        <v>21</v>
      </c>
      <c r="D325">
        <v>1</v>
      </c>
      <c r="E325" t="s">
        <v>20</v>
      </c>
      <c r="F325" t="s">
        <v>35</v>
      </c>
      <c r="G325">
        <v>16000</v>
      </c>
      <c r="H325">
        <v>5000</v>
      </c>
      <c r="I325">
        <v>40</v>
      </c>
      <c r="J325">
        <v>360</v>
      </c>
      <c r="K325">
        <v>1</v>
      </c>
      <c r="L325" t="s">
        <v>31</v>
      </c>
      <c r="M325">
        <f t="shared" si="25"/>
        <v>21000</v>
      </c>
      <c r="N325">
        <f t="shared" si="26"/>
        <v>4156</v>
      </c>
      <c r="O325">
        <f t="shared" si="27"/>
        <v>5205</v>
      </c>
      <c r="P325">
        <f t="shared" si="28"/>
        <v>6980</v>
      </c>
      <c r="Q325" s="1" t="str">
        <f t="shared" si="29"/>
        <v>Very High</v>
      </c>
    </row>
    <row r="326" spans="1:17">
      <c r="A326" t="s">
        <v>351</v>
      </c>
      <c r="B326" t="s">
        <v>18</v>
      </c>
      <c r="C326" t="s">
        <v>19</v>
      </c>
      <c r="D326">
        <v>0</v>
      </c>
      <c r="E326" t="s">
        <v>20</v>
      </c>
      <c r="F326" t="s">
        <v>21</v>
      </c>
      <c r="G326">
        <v>5333</v>
      </c>
      <c r="H326">
        <v>0</v>
      </c>
      <c r="I326">
        <v>90</v>
      </c>
      <c r="J326">
        <v>360</v>
      </c>
      <c r="K326">
        <v>1</v>
      </c>
      <c r="L326" t="s">
        <v>33</v>
      </c>
      <c r="M326">
        <f t="shared" si="25"/>
        <v>5333</v>
      </c>
      <c r="N326">
        <f t="shared" si="26"/>
        <v>4156</v>
      </c>
      <c r="O326">
        <f t="shared" si="27"/>
        <v>5205</v>
      </c>
      <c r="P326">
        <f t="shared" si="28"/>
        <v>6980</v>
      </c>
      <c r="Q326" s="1" t="str">
        <f t="shared" si="29"/>
        <v>High</v>
      </c>
    </row>
    <row r="327" spans="1:17">
      <c r="A327" t="s">
        <v>352</v>
      </c>
      <c r="B327" t="s">
        <v>18</v>
      </c>
      <c r="C327" t="s">
        <v>21</v>
      </c>
      <c r="D327">
        <v>0</v>
      </c>
      <c r="E327" t="s">
        <v>20</v>
      </c>
      <c r="F327" t="s">
        <v>21</v>
      </c>
      <c r="G327">
        <v>2875</v>
      </c>
      <c r="H327">
        <v>2416</v>
      </c>
      <c r="I327">
        <v>95</v>
      </c>
      <c r="J327">
        <v>6</v>
      </c>
      <c r="K327">
        <v>0</v>
      </c>
      <c r="L327" t="s">
        <v>31</v>
      </c>
      <c r="M327">
        <f t="shared" si="25"/>
        <v>5291</v>
      </c>
      <c r="N327">
        <f t="shared" si="26"/>
        <v>4156</v>
      </c>
      <c r="O327">
        <f t="shared" si="27"/>
        <v>5205</v>
      </c>
      <c r="P327">
        <f t="shared" si="28"/>
        <v>6980</v>
      </c>
      <c r="Q327" s="1" t="str">
        <f t="shared" si="29"/>
        <v>High</v>
      </c>
    </row>
    <row r="328" spans="1:17">
      <c r="A328" t="s">
        <v>353</v>
      </c>
      <c r="B328" t="s">
        <v>18</v>
      </c>
      <c r="C328" t="s">
        <v>19</v>
      </c>
      <c r="D328">
        <v>1</v>
      </c>
      <c r="E328" t="s">
        <v>27</v>
      </c>
      <c r="F328" t="s">
        <v>35</v>
      </c>
      <c r="G328">
        <v>2600</v>
      </c>
      <c r="H328">
        <v>618</v>
      </c>
      <c r="I328">
        <v>122</v>
      </c>
      <c r="J328">
        <v>360</v>
      </c>
      <c r="K328">
        <v>1</v>
      </c>
      <c r="L328" t="s">
        <v>31</v>
      </c>
      <c r="M328">
        <f t="shared" si="25"/>
        <v>3218</v>
      </c>
      <c r="N328">
        <f t="shared" si="26"/>
        <v>4156</v>
      </c>
      <c r="O328">
        <f t="shared" si="27"/>
        <v>5205</v>
      </c>
      <c r="P328">
        <f t="shared" si="28"/>
        <v>6980</v>
      </c>
      <c r="Q328" s="1" t="str">
        <f t="shared" si="29"/>
        <v>Low</v>
      </c>
    </row>
    <row r="329" spans="1:17">
      <c r="A329" t="s">
        <v>354</v>
      </c>
      <c r="B329" t="s">
        <v>18</v>
      </c>
      <c r="C329" t="s">
        <v>19</v>
      </c>
      <c r="D329">
        <v>2</v>
      </c>
      <c r="E329" t="s">
        <v>20</v>
      </c>
      <c r="F329" t="s">
        <v>21</v>
      </c>
      <c r="G329">
        <v>5041</v>
      </c>
      <c r="H329">
        <v>700</v>
      </c>
      <c r="I329">
        <v>150</v>
      </c>
      <c r="J329">
        <v>360</v>
      </c>
      <c r="K329">
        <v>1</v>
      </c>
      <c r="L329" t="s">
        <v>22</v>
      </c>
      <c r="M329">
        <f t="shared" si="25"/>
        <v>5741</v>
      </c>
      <c r="N329">
        <f t="shared" si="26"/>
        <v>4156</v>
      </c>
      <c r="O329">
        <f t="shared" si="27"/>
        <v>5205</v>
      </c>
      <c r="P329">
        <f t="shared" si="28"/>
        <v>6980</v>
      </c>
      <c r="Q329" s="1" t="str">
        <f t="shared" si="29"/>
        <v>High</v>
      </c>
    </row>
    <row r="330" spans="1:17">
      <c r="A330" t="s">
        <v>355</v>
      </c>
      <c r="B330" t="s">
        <v>18</v>
      </c>
      <c r="C330" t="s">
        <v>19</v>
      </c>
      <c r="D330">
        <v>3</v>
      </c>
      <c r="E330" t="s">
        <v>20</v>
      </c>
      <c r="F330" t="s">
        <v>19</v>
      </c>
      <c r="G330">
        <v>6958</v>
      </c>
      <c r="H330">
        <v>1411</v>
      </c>
      <c r="I330">
        <v>150</v>
      </c>
      <c r="J330">
        <v>360</v>
      </c>
      <c r="K330">
        <v>1</v>
      </c>
      <c r="L330" t="s">
        <v>33</v>
      </c>
      <c r="M330">
        <f t="shared" si="25"/>
        <v>8369</v>
      </c>
      <c r="N330">
        <f t="shared" si="26"/>
        <v>4156</v>
      </c>
      <c r="O330">
        <f t="shared" si="27"/>
        <v>5205</v>
      </c>
      <c r="P330">
        <f t="shared" si="28"/>
        <v>6980</v>
      </c>
      <c r="Q330" s="1" t="str">
        <f t="shared" si="29"/>
        <v>Very High</v>
      </c>
    </row>
    <row r="331" spans="1:17">
      <c r="A331" t="s">
        <v>356</v>
      </c>
      <c r="B331" t="s">
        <v>18</v>
      </c>
      <c r="C331" t="s">
        <v>19</v>
      </c>
      <c r="D331">
        <v>1</v>
      </c>
      <c r="E331" t="s">
        <v>20</v>
      </c>
      <c r="F331" t="s">
        <v>21</v>
      </c>
      <c r="G331">
        <v>3500</v>
      </c>
      <c r="H331">
        <v>1658</v>
      </c>
      <c r="I331">
        <v>104</v>
      </c>
      <c r="J331">
        <v>360</v>
      </c>
      <c r="L331" t="s">
        <v>31</v>
      </c>
      <c r="M331">
        <f t="shared" si="25"/>
        <v>5158</v>
      </c>
      <c r="N331">
        <f t="shared" si="26"/>
        <v>4156</v>
      </c>
      <c r="O331">
        <f t="shared" si="27"/>
        <v>5205</v>
      </c>
      <c r="P331">
        <f t="shared" si="28"/>
        <v>6980</v>
      </c>
      <c r="Q331" s="1" t="str">
        <f t="shared" si="29"/>
        <v>Medium</v>
      </c>
    </row>
    <row r="332" spans="1:17">
      <c r="A332" t="s">
        <v>357</v>
      </c>
      <c r="B332" t="s">
        <v>18</v>
      </c>
      <c r="C332" t="s">
        <v>19</v>
      </c>
      <c r="D332">
        <v>0</v>
      </c>
      <c r="E332" t="s">
        <v>20</v>
      </c>
      <c r="F332" t="s">
        <v>21</v>
      </c>
      <c r="G332">
        <v>5509</v>
      </c>
      <c r="H332">
        <v>0</v>
      </c>
      <c r="I332">
        <v>143</v>
      </c>
      <c r="J332">
        <v>360</v>
      </c>
      <c r="K332">
        <v>1</v>
      </c>
      <c r="L332" t="s">
        <v>33</v>
      </c>
      <c r="M332">
        <f t="shared" si="25"/>
        <v>5509</v>
      </c>
      <c r="N332">
        <f t="shared" si="26"/>
        <v>4156</v>
      </c>
      <c r="O332">
        <f t="shared" si="27"/>
        <v>5205</v>
      </c>
      <c r="P332">
        <f t="shared" si="28"/>
        <v>6980</v>
      </c>
      <c r="Q332" s="1" t="str">
        <f t="shared" si="29"/>
        <v>High</v>
      </c>
    </row>
    <row r="333" spans="1:17">
      <c r="A333" t="s">
        <v>358</v>
      </c>
      <c r="B333" t="s">
        <v>18</v>
      </c>
      <c r="C333" t="s">
        <v>19</v>
      </c>
      <c r="D333">
        <v>3</v>
      </c>
      <c r="E333" t="s">
        <v>20</v>
      </c>
      <c r="F333" t="s">
        <v>21</v>
      </c>
      <c r="G333">
        <v>9699</v>
      </c>
      <c r="H333">
        <v>0</v>
      </c>
      <c r="I333">
        <v>300</v>
      </c>
      <c r="J333">
        <v>360</v>
      </c>
      <c r="K333">
        <v>1</v>
      </c>
      <c r="L333" t="s">
        <v>22</v>
      </c>
      <c r="M333">
        <f t="shared" si="25"/>
        <v>9699</v>
      </c>
      <c r="N333">
        <f t="shared" si="26"/>
        <v>4156</v>
      </c>
      <c r="O333">
        <f t="shared" si="27"/>
        <v>5205</v>
      </c>
      <c r="P333">
        <f t="shared" si="28"/>
        <v>6980</v>
      </c>
      <c r="Q333" s="1" t="str">
        <f t="shared" si="29"/>
        <v>Very High</v>
      </c>
    </row>
    <row r="334" spans="1:17">
      <c r="A334" t="s">
        <v>359</v>
      </c>
      <c r="B334" t="s">
        <v>30</v>
      </c>
      <c r="C334" t="s">
        <v>19</v>
      </c>
      <c r="D334">
        <v>1</v>
      </c>
      <c r="E334" t="s">
        <v>27</v>
      </c>
      <c r="F334" t="s">
        <v>21</v>
      </c>
      <c r="G334">
        <v>3621</v>
      </c>
      <c r="H334">
        <v>2717</v>
      </c>
      <c r="I334">
        <v>171</v>
      </c>
      <c r="J334">
        <v>360</v>
      </c>
      <c r="K334">
        <v>1</v>
      </c>
      <c r="L334" t="s">
        <v>22</v>
      </c>
      <c r="M334">
        <f t="shared" si="25"/>
        <v>6338</v>
      </c>
      <c r="N334">
        <f t="shared" si="26"/>
        <v>4156</v>
      </c>
      <c r="O334">
        <f t="shared" si="27"/>
        <v>5205</v>
      </c>
      <c r="P334">
        <f t="shared" si="28"/>
        <v>6980</v>
      </c>
      <c r="Q334" s="1" t="str">
        <f t="shared" si="29"/>
        <v>High</v>
      </c>
    </row>
    <row r="335" spans="1:17">
      <c r="A335" t="s">
        <v>360</v>
      </c>
      <c r="B335" t="s">
        <v>30</v>
      </c>
      <c r="C335" t="s">
        <v>19</v>
      </c>
      <c r="D335">
        <v>0</v>
      </c>
      <c r="E335" t="s">
        <v>20</v>
      </c>
      <c r="F335" t="s">
        <v>21</v>
      </c>
      <c r="G335">
        <v>4709</v>
      </c>
      <c r="H335">
        <v>0</v>
      </c>
      <c r="I335">
        <v>113</v>
      </c>
      <c r="J335">
        <v>360</v>
      </c>
      <c r="K335">
        <v>1</v>
      </c>
      <c r="L335" t="s">
        <v>31</v>
      </c>
      <c r="M335">
        <f t="shared" si="25"/>
        <v>4709</v>
      </c>
      <c r="N335">
        <f t="shared" si="26"/>
        <v>4156</v>
      </c>
      <c r="O335">
        <f t="shared" si="27"/>
        <v>5205</v>
      </c>
      <c r="P335">
        <f t="shared" si="28"/>
        <v>6980</v>
      </c>
      <c r="Q335" s="1" t="str">
        <f t="shared" si="29"/>
        <v>Medium</v>
      </c>
    </row>
    <row r="336" spans="1:17">
      <c r="A336" t="s">
        <v>361</v>
      </c>
      <c r="B336" t="s">
        <v>18</v>
      </c>
      <c r="C336" t="s">
        <v>19</v>
      </c>
      <c r="D336">
        <v>0</v>
      </c>
      <c r="E336" t="s">
        <v>20</v>
      </c>
      <c r="F336" t="s">
        <v>21</v>
      </c>
      <c r="G336">
        <v>1516</v>
      </c>
      <c r="H336">
        <v>1951</v>
      </c>
      <c r="I336">
        <v>35</v>
      </c>
      <c r="J336">
        <v>360</v>
      </c>
      <c r="K336">
        <v>1</v>
      </c>
      <c r="L336" t="s">
        <v>31</v>
      </c>
      <c r="M336">
        <f t="shared" si="25"/>
        <v>3467</v>
      </c>
      <c r="N336">
        <f t="shared" si="26"/>
        <v>4156</v>
      </c>
      <c r="O336">
        <f t="shared" si="27"/>
        <v>5205</v>
      </c>
      <c r="P336">
        <f t="shared" si="28"/>
        <v>6980</v>
      </c>
      <c r="Q336" s="1" t="str">
        <f t="shared" si="29"/>
        <v>Low</v>
      </c>
    </row>
    <row r="337" spans="1:17">
      <c r="A337" t="s">
        <v>362</v>
      </c>
      <c r="B337" t="s">
        <v>18</v>
      </c>
      <c r="C337" t="s">
        <v>21</v>
      </c>
      <c r="D337">
        <v>2</v>
      </c>
      <c r="E337" t="s">
        <v>20</v>
      </c>
      <c r="F337" t="s">
        <v>21</v>
      </c>
      <c r="G337">
        <v>2400</v>
      </c>
      <c r="H337">
        <v>0</v>
      </c>
      <c r="I337">
        <v>46</v>
      </c>
      <c r="J337">
        <v>360</v>
      </c>
      <c r="K337">
        <v>1</v>
      </c>
      <c r="L337" t="s">
        <v>22</v>
      </c>
      <c r="M337">
        <f t="shared" si="25"/>
        <v>2400</v>
      </c>
      <c r="N337">
        <f t="shared" si="26"/>
        <v>4156</v>
      </c>
      <c r="O337">
        <f t="shared" si="27"/>
        <v>5205</v>
      </c>
      <c r="P337">
        <f t="shared" si="28"/>
        <v>6980</v>
      </c>
      <c r="Q337" s="1" t="str">
        <f t="shared" si="29"/>
        <v>Low</v>
      </c>
    </row>
    <row r="338" spans="1:17">
      <c r="A338" t="s">
        <v>363</v>
      </c>
      <c r="B338" t="s">
        <v>30</v>
      </c>
      <c r="C338" t="s">
        <v>21</v>
      </c>
      <c r="D338">
        <v>0</v>
      </c>
      <c r="E338" t="s">
        <v>27</v>
      </c>
      <c r="F338" t="s">
        <v>21</v>
      </c>
      <c r="G338">
        <v>3015</v>
      </c>
      <c r="H338">
        <v>2000</v>
      </c>
      <c r="I338">
        <v>145</v>
      </c>
      <c r="J338">
        <v>360</v>
      </c>
      <c r="L338" t="s">
        <v>22</v>
      </c>
      <c r="M338">
        <f t="shared" si="25"/>
        <v>5015</v>
      </c>
      <c r="N338">
        <f t="shared" si="26"/>
        <v>4156</v>
      </c>
      <c r="O338">
        <f t="shared" si="27"/>
        <v>5205</v>
      </c>
      <c r="P338">
        <f t="shared" si="28"/>
        <v>6980</v>
      </c>
      <c r="Q338" s="1" t="str">
        <f t="shared" si="29"/>
        <v>Medium</v>
      </c>
    </row>
    <row r="339" spans="1:17">
      <c r="A339" t="s">
        <v>364</v>
      </c>
      <c r="B339" t="s">
        <v>18</v>
      </c>
      <c r="C339" t="s">
        <v>19</v>
      </c>
      <c r="D339">
        <v>0</v>
      </c>
      <c r="E339" t="s">
        <v>20</v>
      </c>
      <c r="F339" t="s">
        <v>21</v>
      </c>
      <c r="G339">
        <v>2292</v>
      </c>
      <c r="H339">
        <v>1558</v>
      </c>
      <c r="I339">
        <v>119</v>
      </c>
      <c r="J339">
        <v>360</v>
      </c>
      <c r="K339">
        <v>1</v>
      </c>
      <c r="L339" t="s">
        <v>22</v>
      </c>
      <c r="M339">
        <f t="shared" si="25"/>
        <v>3850</v>
      </c>
      <c r="N339">
        <f t="shared" si="26"/>
        <v>4156</v>
      </c>
      <c r="O339">
        <f t="shared" si="27"/>
        <v>5205</v>
      </c>
      <c r="P339">
        <f t="shared" si="28"/>
        <v>6980</v>
      </c>
      <c r="Q339" s="1" t="str">
        <f t="shared" si="29"/>
        <v>Low</v>
      </c>
    </row>
    <row r="340" spans="1:17">
      <c r="A340" t="s">
        <v>365</v>
      </c>
      <c r="B340" t="s">
        <v>18</v>
      </c>
      <c r="C340" t="s">
        <v>19</v>
      </c>
      <c r="D340">
        <v>1</v>
      </c>
      <c r="E340" t="s">
        <v>20</v>
      </c>
      <c r="F340" t="s">
        <v>19</v>
      </c>
      <c r="G340">
        <v>2360</v>
      </c>
      <c r="H340">
        <v>3355</v>
      </c>
      <c r="I340">
        <v>87</v>
      </c>
      <c r="J340">
        <v>240</v>
      </c>
      <c r="K340">
        <v>1</v>
      </c>
      <c r="L340" t="s">
        <v>33</v>
      </c>
      <c r="M340">
        <f t="shared" si="25"/>
        <v>5715</v>
      </c>
      <c r="N340">
        <f t="shared" si="26"/>
        <v>4156</v>
      </c>
      <c r="O340">
        <f t="shared" si="27"/>
        <v>5205</v>
      </c>
      <c r="P340">
        <f t="shared" si="28"/>
        <v>6980</v>
      </c>
      <c r="Q340" s="1" t="str">
        <f t="shared" si="29"/>
        <v>High</v>
      </c>
    </row>
    <row r="341" spans="1:17">
      <c r="A341" t="s">
        <v>366</v>
      </c>
      <c r="B341" t="s">
        <v>30</v>
      </c>
      <c r="C341" t="s">
        <v>21</v>
      </c>
      <c r="D341">
        <v>0</v>
      </c>
      <c r="E341" t="s">
        <v>20</v>
      </c>
      <c r="F341" t="s">
        <v>21</v>
      </c>
      <c r="G341">
        <v>4333</v>
      </c>
      <c r="H341">
        <v>2333</v>
      </c>
      <c r="I341">
        <v>162</v>
      </c>
      <c r="J341">
        <v>360</v>
      </c>
      <c r="K341">
        <v>0</v>
      </c>
      <c r="L341" t="s">
        <v>33</v>
      </c>
      <c r="M341">
        <f t="shared" si="25"/>
        <v>6666</v>
      </c>
      <c r="N341">
        <f t="shared" si="26"/>
        <v>4156</v>
      </c>
      <c r="O341">
        <f t="shared" si="27"/>
        <v>5205</v>
      </c>
      <c r="P341">
        <f t="shared" si="28"/>
        <v>6980</v>
      </c>
      <c r="Q341" s="1" t="str">
        <f t="shared" si="29"/>
        <v>High</v>
      </c>
    </row>
    <row r="342" spans="1:17">
      <c r="A342" t="s">
        <v>367</v>
      </c>
      <c r="B342" t="s">
        <v>18</v>
      </c>
      <c r="C342" t="s">
        <v>19</v>
      </c>
      <c r="D342">
        <v>0</v>
      </c>
      <c r="E342" t="s">
        <v>20</v>
      </c>
      <c r="F342" t="s">
        <v>19</v>
      </c>
      <c r="G342">
        <v>2623</v>
      </c>
      <c r="H342">
        <v>4831</v>
      </c>
      <c r="I342">
        <v>122</v>
      </c>
      <c r="J342">
        <v>180</v>
      </c>
      <c r="K342">
        <v>1</v>
      </c>
      <c r="L342" t="s">
        <v>31</v>
      </c>
      <c r="M342">
        <f t="shared" si="25"/>
        <v>7454</v>
      </c>
      <c r="N342">
        <f t="shared" si="26"/>
        <v>4156</v>
      </c>
      <c r="O342">
        <f t="shared" si="27"/>
        <v>5205</v>
      </c>
      <c r="P342">
        <f t="shared" si="28"/>
        <v>6980</v>
      </c>
      <c r="Q342" s="1" t="str">
        <f t="shared" si="29"/>
        <v>Very High</v>
      </c>
    </row>
    <row r="343" spans="1:17">
      <c r="A343" t="s">
        <v>368</v>
      </c>
      <c r="B343" t="s">
        <v>18</v>
      </c>
      <c r="C343" t="s">
        <v>21</v>
      </c>
      <c r="D343">
        <v>0</v>
      </c>
      <c r="E343" t="s">
        <v>20</v>
      </c>
      <c r="F343" t="s">
        <v>19</v>
      </c>
      <c r="G343">
        <v>3972</v>
      </c>
      <c r="H343">
        <v>4275</v>
      </c>
      <c r="I343">
        <v>187</v>
      </c>
      <c r="J343">
        <v>360</v>
      </c>
      <c r="K343">
        <v>1</v>
      </c>
      <c r="L343" t="s">
        <v>33</v>
      </c>
      <c r="M343">
        <f t="shared" si="25"/>
        <v>8247</v>
      </c>
      <c r="N343">
        <f t="shared" si="26"/>
        <v>4156</v>
      </c>
      <c r="O343">
        <f t="shared" si="27"/>
        <v>5205</v>
      </c>
      <c r="P343">
        <f t="shared" si="28"/>
        <v>6980</v>
      </c>
      <c r="Q343" s="1" t="str">
        <f t="shared" si="29"/>
        <v>Very High</v>
      </c>
    </row>
    <row r="344" spans="1:17">
      <c r="A344" t="s">
        <v>369</v>
      </c>
      <c r="B344" t="s">
        <v>18</v>
      </c>
      <c r="C344" t="s">
        <v>19</v>
      </c>
      <c r="D344">
        <v>3</v>
      </c>
      <c r="E344" t="s">
        <v>27</v>
      </c>
      <c r="F344" t="s">
        <v>21</v>
      </c>
      <c r="G344">
        <v>3522</v>
      </c>
      <c r="H344">
        <v>0</v>
      </c>
      <c r="I344">
        <v>81</v>
      </c>
      <c r="J344">
        <v>180</v>
      </c>
      <c r="K344">
        <v>1</v>
      </c>
      <c r="L344" t="s">
        <v>33</v>
      </c>
      <c r="M344">
        <f t="shared" si="25"/>
        <v>3522</v>
      </c>
      <c r="N344">
        <f t="shared" si="26"/>
        <v>4156</v>
      </c>
      <c r="O344">
        <f t="shared" si="27"/>
        <v>5205</v>
      </c>
      <c r="P344">
        <f t="shared" si="28"/>
        <v>6980</v>
      </c>
      <c r="Q344" s="1" t="str">
        <f t="shared" si="29"/>
        <v>Low</v>
      </c>
    </row>
    <row r="345" spans="1:17">
      <c r="A345" t="s">
        <v>370</v>
      </c>
      <c r="B345" t="s">
        <v>18</v>
      </c>
      <c r="C345" t="s">
        <v>19</v>
      </c>
      <c r="D345">
        <v>1</v>
      </c>
      <c r="E345" t="s">
        <v>20</v>
      </c>
      <c r="F345" t="s">
        <v>21</v>
      </c>
      <c r="G345">
        <v>4700</v>
      </c>
      <c r="H345">
        <v>0</v>
      </c>
      <c r="I345">
        <v>80</v>
      </c>
      <c r="J345">
        <v>360</v>
      </c>
      <c r="K345">
        <v>1</v>
      </c>
      <c r="L345" t="s">
        <v>22</v>
      </c>
      <c r="M345">
        <f t="shared" si="25"/>
        <v>4700</v>
      </c>
      <c r="N345">
        <f t="shared" si="26"/>
        <v>4156</v>
      </c>
      <c r="O345">
        <f t="shared" si="27"/>
        <v>5205</v>
      </c>
      <c r="P345">
        <f t="shared" si="28"/>
        <v>6980</v>
      </c>
      <c r="Q345" s="1" t="str">
        <f t="shared" si="29"/>
        <v>Medium</v>
      </c>
    </row>
    <row r="346" spans="1:17">
      <c r="A346" t="s">
        <v>371</v>
      </c>
      <c r="B346" t="s">
        <v>18</v>
      </c>
      <c r="C346" t="s">
        <v>21</v>
      </c>
      <c r="D346">
        <v>0</v>
      </c>
      <c r="E346" t="s">
        <v>20</v>
      </c>
      <c r="F346" t="s">
        <v>21</v>
      </c>
      <c r="G346">
        <v>6858</v>
      </c>
      <c r="H346">
        <v>0</v>
      </c>
      <c r="I346">
        <v>176</v>
      </c>
      <c r="J346">
        <v>360</v>
      </c>
      <c r="K346">
        <v>1</v>
      </c>
      <c r="L346" t="s">
        <v>33</v>
      </c>
      <c r="M346">
        <f t="shared" si="25"/>
        <v>6858</v>
      </c>
      <c r="N346">
        <f t="shared" si="26"/>
        <v>4156</v>
      </c>
      <c r="O346">
        <f t="shared" si="27"/>
        <v>5205</v>
      </c>
      <c r="P346">
        <f t="shared" si="28"/>
        <v>6980</v>
      </c>
      <c r="Q346" s="1" t="str">
        <f t="shared" si="29"/>
        <v>High</v>
      </c>
    </row>
    <row r="347" spans="1:17">
      <c r="A347" t="s">
        <v>372</v>
      </c>
      <c r="B347" t="s">
        <v>18</v>
      </c>
      <c r="C347" t="s">
        <v>19</v>
      </c>
      <c r="D347">
        <v>3</v>
      </c>
      <c r="E347" t="s">
        <v>20</v>
      </c>
      <c r="F347" t="s">
        <v>21</v>
      </c>
      <c r="G347">
        <v>8334</v>
      </c>
      <c r="H347">
        <v>0</v>
      </c>
      <c r="I347">
        <v>260</v>
      </c>
      <c r="J347">
        <v>360</v>
      </c>
      <c r="K347">
        <v>1</v>
      </c>
      <c r="L347" t="s">
        <v>22</v>
      </c>
      <c r="M347">
        <f t="shared" si="25"/>
        <v>8334</v>
      </c>
      <c r="N347">
        <f t="shared" si="26"/>
        <v>4156</v>
      </c>
      <c r="O347">
        <f t="shared" si="27"/>
        <v>5205</v>
      </c>
      <c r="P347">
        <f t="shared" si="28"/>
        <v>6980</v>
      </c>
      <c r="Q347" s="1" t="str">
        <f t="shared" si="29"/>
        <v>Very High</v>
      </c>
    </row>
    <row r="348" spans="1:17">
      <c r="A348" t="s">
        <v>373</v>
      </c>
      <c r="B348" t="s">
        <v>18</v>
      </c>
      <c r="C348" t="s">
        <v>19</v>
      </c>
      <c r="D348">
        <v>0</v>
      </c>
      <c r="E348" t="s">
        <v>20</v>
      </c>
      <c r="F348" t="s">
        <v>21</v>
      </c>
      <c r="G348">
        <v>3391</v>
      </c>
      <c r="H348">
        <v>1966</v>
      </c>
      <c r="I348">
        <v>133</v>
      </c>
      <c r="J348">
        <v>360</v>
      </c>
      <c r="K348">
        <v>0</v>
      </c>
      <c r="L348" t="s">
        <v>33</v>
      </c>
      <c r="M348">
        <f t="shared" si="25"/>
        <v>5357</v>
      </c>
      <c r="N348">
        <f t="shared" si="26"/>
        <v>4156</v>
      </c>
      <c r="O348">
        <f t="shared" si="27"/>
        <v>5205</v>
      </c>
      <c r="P348">
        <f t="shared" si="28"/>
        <v>6980</v>
      </c>
      <c r="Q348" s="1" t="str">
        <f t="shared" si="29"/>
        <v>High</v>
      </c>
    </row>
    <row r="349" spans="1:17">
      <c r="A349" t="s">
        <v>374</v>
      </c>
      <c r="B349" t="s">
        <v>18</v>
      </c>
      <c r="C349" t="s">
        <v>21</v>
      </c>
      <c r="D349">
        <v>0</v>
      </c>
      <c r="E349" t="s">
        <v>27</v>
      </c>
      <c r="F349" t="s">
        <v>21</v>
      </c>
      <c r="G349">
        <v>2868</v>
      </c>
      <c r="H349">
        <v>0</v>
      </c>
      <c r="I349">
        <v>70</v>
      </c>
      <c r="J349">
        <v>360</v>
      </c>
      <c r="K349">
        <v>1</v>
      </c>
      <c r="L349" t="s">
        <v>22</v>
      </c>
      <c r="M349">
        <f t="shared" si="25"/>
        <v>2868</v>
      </c>
      <c r="N349">
        <f t="shared" si="26"/>
        <v>4156</v>
      </c>
      <c r="O349">
        <f t="shared" si="27"/>
        <v>5205</v>
      </c>
      <c r="P349">
        <f t="shared" si="28"/>
        <v>6980</v>
      </c>
      <c r="Q349" s="1" t="str">
        <f t="shared" si="29"/>
        <v>Low</v>
      </c>
    </row>
    <row r="350" spans="1:17">
      <c r="A350" t="s">
        <v>375</v>
      </c>
      <c r="B350" t="s">
        <v>18</v>
      </c>
      <c r="C350" t="s">
        <v>19</v>
      </c>
      <c r="D350">
        <v>2</v>
      </c>
      <c r="E350" t="s">
        <v>27</v>
      </c>
      <c r="F350" t="s">
        <v>21</v>
      </c>
      <c r="G350">
        <v>3418</v>
      </c>
      <c r="H350">
        <v>1380</v>
      </c>
      <c r="I350">
        <v>135</v>
      </c>
      <c r="J350">
        <v>360</v>
      </c>
      <c r="K350">
        <v>1</v>
      </c>
      <c r="L350" t="s">
        <v>22</v>
      </c>
      <c r="M350">
        <f t="shared" si="25"/>
        <v>4798</v>
      </c>
      <c r="N350">
        <f t="shared" si="26"/>
        <v>4156</v>
      </c>
      <c r="O350">
        <f t="shared" si="27"/>
        <v>5205</v>
      </c>
      <c r="P350">
        <f t="shared" si="28"/>
        <v>6980</v>
      </c>
      <c r="Q350" s="1" t="str">
        <f t="shared" si="29"/>
        <v>Medium</v>
      </c>
    </row>
    <row r="351" spans="1:17">
      <c r="A351" t="s">
        <v>376</v>
      </c>
      <c r="B351" t="s">
        <v>18</v>
      </c>
      <c r="C351" t="s">
        <v>19</v>
      </c>
      <c r="D351">
        <v>0</v>
      </c>
      <c r="E351" t="s">
        <v>20</v>
      </c>
      <c r="F351" t="s">
        <v>19</v>
      </c>
      <c r="G351">
        <v>2500</v>
      </c>
      <c r="H351">
        <v>296</v>
      </c>
      <c r="I351">
        <v>137</v>
      </c>
      <c r="J351">
        <v>300</v>
      </c>
      <c r="K351">
        <v>1</v>
      </c>
      <c r="L351" t="s">
        <v>33</v>
      </c>
      <c r="M351">
        <f t="shared" si="25"/>
        <v>2796</v>
      </c>
      <c r="N351">
        <f t="shared" si="26"/>
        <v>4156</v>
      </c>
      <c r="O351">
        <f t="shared" si="27"/>
        <v>5205</v>
      </c>
      <c r="P351">
        <f t="shared" si="28"/>
        <v>6980</v>
      </c>
      <c r="Q351" s="1" t="str">
        <f t="shared" si="29"/>
        <v>Low</v>
      </c>
    </row>
    <row r="352" spans="1:17">
      <c r="A352" t="s">
        <v>377</v>
      </c>
      <c r="B352" t="s">
        <v>18</v>
      </c>
      <c r="C352" t="s">
        <v>19</v>
      </c>
      <c r="D352">
        <v>2</v>
      </c>
      <c r="E352" t="s">
        <v>20</v>
      </c>
      <c r="F352" t="s">
        <v>21</v>
      </c>
      <c r="G352">
        <v>8667</v>
      </c>
      <c r="H352">
        <v>0</v>
      </c>
      <c r="I352">
        <v>254</v>
      </c>
      <c r="J352">
        <v>360</v>
      </c>
      <c r="K352">
        <v>1</v>
      </c>
      <c r="L352" t="s">
        <v>33</v>
      </c>
      <c r="M352">
        <f t="shared" si="25"/>
        <v>8667</v>
      </c>
      <c r="N352">
        <f t="shared" si="26"/>
        <v>4156</v>
      </c>
      <c r="O352">
        <f t="shared" si="27"/>
        <v>5205</v>
      </c>
      <c r="P352">
        <f t="shared" si="28"/>
        <v>6980</v>
      </c>
      <c r="Q352" s="1" t="str">
        <f t="shared" si="29"/>
        <v>Very High</v>
      </c>
    </row>
    <row r="353" spans="1:17">
      <c r="A353" t="s">
        <v>378</v>
      </c>
      <c r="B353" t="s">
        <v>18</v>
      </c>
      <c r="C353" t="s">
        <v>21</v>
      </c>
      <c r="D353">
        <v>0</v>
      </c>
      <c r="E353" t="s">
        <v>20</v>
      </c>
      <c r="F353" t="s">
        <v>21</v>
      </c>
      <c r="G353">
        <v>2283</v>
      </c>
      <c r="H353">
        <v>15000</v>
      </c>
      <c r="I353">
        <v>106</v>
      </c>
      <c r="J353">
        <v>360</v>
      </c>
      <c r="L353" t="s">
        <v>33</v>
      </c>
      <c r="M353">
        <f t="shared" si="25"/>
        <v>17283</v>
      </c>
      <c r="N353">
        <f t="shared" si="26"/>
        <v>4156</v>
      </c>
      <c r="O353">
        <f t="shared" si="27"/>
        <v>5205</v>
      </c>
      <c r="P353">
        <f t="shared" si="28"/>
        <v>6980</v>
      </c>
      <c r="Q353" s="1" t="str">
        <f t="shared" si="29"/>
        <v>Very High</v>
      </c>
    </row>
    <row r="354" spans="1:17">
      <c r="A354" t="s">
        <v>379</v>
      </c>
      <c r="B354" t="s">
        <v>18</v>
      </c>
      <c r="C354" t="s">
        <v>19</v>
      </c>
      <c r="D354">
        <v>0</v>
      </c>
      <c r="E354" t="s">
        <v>20</v>
      </c>
      <c r="F354" t="s">
        <v>21</v>
      </c>
      <c r="G354">
        <v>5817</v>
      </c>
      <c r="H354">
        <v>910</v>
      </c>
      <c r="I354">
        <v>109</v>
      </c>
      <c r="J354">
        <v>360</v>
      </c>
      <c r="K354">
        <v>1</v>
      </c>
      <c r="L354" t="s">
        <v>22</v>
      </c>
      <c r="M354">
        <f t="shared" si="25"/>
        <v>6727</v>
      </c>
      <c r="N354">
        <f t="shared" si="26"/>
        <v>4156</v>
      </c>
      <c r="O354">
        <f t="shared" si="27"/>
        <v>5205</v>
      </c>
      <c r="P354">
        <f t="shared" si="28"/>
        <v>6980</v>
      </c>
      <c r="Q354" s="1" t="str">
        <f t="shared" si="29"/>
        <v>High</v>
      </c>
    </row>
    <row r="355" spans="1:17">
      <c r="A355" t="s">
        <v>380</v>
      </c>
      <c r="B355" t="s">
        <v>18</v>
      </c>
      <c r="C355" t="s">
        <v>19</v>
      </c>
      <c r="D355">
        <v>0</v>
      </c>
      <c r="E355" t="s">
        <v>20</v>
      </c>
      <c r="F355" t="s">
        <v>21</v>
      </c>
      <c r="G355">
        <v>5119</v>
      </c>
      <c r="H355">
        <v>3769</v>
      </c>
      <c r="I355">
        <v>120</v>
      </c>
      <c r="J355">
        <v>360</v>
      </c>
      <c r="K355">
        <v>1</v>
      </c>
      <c r="L355" t="s">
        <v>33</v>
      </c>
      <c r="M355">
        <f t="shared" si="25"/>
        <v>8888</v>
      </c>
      <c r="N355">
        <f t="shared" si="26"/>
        <v>4156</v>
      </c>
      <c r="O355">
        <f t="shared" si="27"/>
        <v>5205</v>
      </c>
      <c r="P355">
        <f t="shared" si="28"/>
        <v>6980</v>
      </c>
      <c r="Q355" s="1" t="str">
        <f t="shared" si="29"/>
        <v>Very High</v>
      </c>
    </row>
    <row r="356" spans="1:17">
      <c r="A356" t="s">
        <v>381</v>
      </c>
      <c r="B356" t="s">
        <v>18</v>
      </c>
      <c r="C356" t="s">
        <v>19</v>
      </c>
      <c r="D356">
        <v>3</v>
      </c>
      <c r="E356" t="s">
        <v>27</v>
      </c>
      <c r="F356" t="s">
        <v>21</v>
      </c>
      <c r="G356">
        <v>5316</v>
      </c>
      <c r="H356">
        <v>187</v>
      </c>
      <c r="I356">
        <v>158</v>
      </c>
      <c r="J356">
        <v>180</v>
      </c>
      <c r="K356">
        <v>0</v>
      </c>
      <c r="L356" t="s">
        <v>31</v>
      </c>
      <c r="M356">
        <f t="shared" si="25"/>
        <v>5503</v>
      </c>
      <c r="N356">
        <f t="shared" si="26"/>
        <v>4156</v>
      </c>
      <c r="O356">
        <f t="shared" si="27"/>
        <v>5205</v>
      </c>
      <c r="P356">
        <f t="shared" si="28"/>
        <v>6980</v>
      </c>
      <c r="Q356" s="1" t="str">
        <f t="shared" si="29"/>
        <v>High</v>
      </c>
    </row>
    <row r="357" spans="1:17">
      <c r="A357" t="s">
        <v>382</v>
      </c>
      <c r="B357" t="s">
        <v>18</v>
      </c>
      <c r="C357" t="s">
        <v>19</v>
      </c>
      <c r="D357">
        <v>3</v>
      </c>
      <c r="E357" t="s">
        <v>20</v>
      </c>
      <c r="F357" t="s">
        <v>21</v>
      </c>
      <c r="G357">
        <v>7603</v>
      </c>
      <c r="H357">
        <v>1213</v>
      </c>
      <c r="I357">
        <v>197</v>
      </c>
      <c r="J357">
        <v>360</v>
      </c>
      <c r="K357">
        <v>1</v>
      </c>
      <c r="L357" t="s">
        <v>22</v>
      </c>
      <c r="M357">
        <f t="shared" si="25"/>
        <v>8816</v>
      </c>
      <c r="N357">
        <f t="shared" si="26"/>
        <v>4156</v>
      </c>
      <c r="O357">
        <f t="shared" si="27"/>
        <v>5205</v>
      </c>
      <c r="P357">
        <f t="shared" si="28"/>
        <v>6980</v>
      </c>
      <c r="Q357" s="1" t="str">
        <f t="shared" si="29"/>
        <v>Very High</v>
      </c>
    </row>
    <row r="358" spans="1:17">
      <c r="A358" t="s">
        <v>383</v>
      </c>
      <c r="B358" t="s">
        <v>18</v>
      </c>
      <c r="C358" t="s">
        <v>19</v>
      </c>
      <c r="D358">
        <v>1</v>
      </c>
      <c r="E358" t="s">
        <v>20</v>
      </c>
      <c r="F358" t="s">
        <v>21</v>
      </c>
      <c r="G358">
        <v>3791</v>
      </c>
      <c r="H358">
        <v>1936</v>
      </c>
      <c r="I358">
        <v>85</v>
      </c>
      <c r="J358">
        <v>360</v>
      </c>
      <c r="K358">
        <v>1</v>
      </c>
      <c r="L358" t="s">
        <v>22</v>
      </c>
      <c r="M358">
        <f t="shared" si="25"/>
        <v>5727</v>
      </c>
      <c r="N358">
        <f t="shared" si="26"/>
        <v>4156</v>
      </c>
      <c r="O358">
        <f t="shared" si="27"/>
        <v>5205</v>
      </c>
      <c r="P358">
        <f t="shared" si="28"/>
        <v>6980</v>
      </c>
      <c r="Q358" s="1" t="str">
        <f t="shared" si="29"/>
        <v>High</v>
      </c>
    </row>
    <row r="359" spans="1:17">
      <c r="A359" t="s">
        <v>384</v>
      </c>
      <c r="B359" t="s">
        <v>18</v>
      </c>
      <c r="C359" t="s">
        <v>21</v>
      </c>
      <c r="D359">
        <v>0</v>
      </c>
      <c r="E359" t="s">
        <v>20</v>
      </c>
      <c r="F359" t="s">
        <v>21</v>
      </c>
      <c r="G359">
        <v>2500</v>
      </c>
      <c r="H359">
        <v>0</v>
      </c>
      <c r="I359">
        <v>60</v>
      </c>
      <c r="J359">
        <v>360</v>
      </c>
      <c r="K359">
        <v>1</v>
      </c>
      <c r="L359" t="s">
        <v>22</v>
      </c>
      <c r="M359">
        <f t="shared" si="25"/>
        <v>2500</v>
      </c>
      <c r="N359">
        <f t="shared" si="26"/>
        <v>4156</v>
      </c>
      <c r="O359">
        <f t="shared" si="27"/>
        <v>5205</v>
      </c>
      <c r="P359">
        <f t="shared" si="28"/>
        <v>6980</v>
      </c>
      <c r="Q359" s="1" t="str">
        <f t="shared" si="29"/>
        <v>Low</v>
      </c>
    </row>
    <row r="360" spans="1:17">
      <c r="A360" t="s">
        <v>385</v>
      </c>
      <c r="B360" t="s">
        <v>18</v>
      </c>
      <c r="C360" t="s">
        <v>19</v>
      </c>
      <c r="D360">
        <v>2</v>
      </c>
      <c r="E360" t="s">
        <v>27</v>
      </c>
      <c r="F360" t="s">
        <v>21</v>
      </c>
      <c r="G360">
        <v>3132</v>
      </c>
      <c r="H360">
        <v>0</v>
      </c>
      <c r="I360">
        <v>76</v>
      </c>
      <c r="J360">
        <v>360</v>
      </c>
      <c r="L360" t="s">
        <v>33</v>
      </c>
      <c r="M360">
        <f t="shared" si="25"/>
        <v>3132</v>
      </c>
      <c r="N360">
        <f t="shared" si="26"/>
        <v>4156</v>
      </c>
      <c r="O360">
        <f t="shared" si="27"/>
        <v>5205</v>
      </c>
      <c r="P360">
        <f t="shared" si="28"/>
        <v>6980</v>
      </c>
      <c r="Q360" s="1" t="str">
        <f t="shared" si="29"/>
        <v>Low</v>
      </c>
    </row>
    <row r="361" spans="1:17">
      <c r="A361" t="s">
        <v>386</v>
      </c>
      <c r="B361" t="s">
        <v>18</v>
      </c>
      <c r="C361" t="s">
        <v>21</v>
      </c>
      <c r="D361">
        <v>0</v>
      </c>
      <c r="E361" t="s">
        <v>20</v>
      </c>
      <c r="F361" t="s">
        <v>21</v>
      </c>
      <c r="G361">
        <v>4000</v>
      </c>
      <c r="H361">
        <v>2667</v>
      </c>
      <c r="I361">
        <v>152</v>
      </c>
      <c r="J361">
        <v>360</v>
      </c>
      <c r="K361">
        <v>1</v>
      </c>
      <c r="L361" t="s">
        <v>31</v>
      </c>
      <c r="M361">
        <f t="shared" si="25"/>
        <v>6667</v>
      </c>
      <c r="N361">
        <f t="shared" si="26"/>
        <v>4156</v>
      </c>
      <c r="O361">
        <f t="shared" si="27"/>
        <v>5205</v>
      </c>
      <c r="P361">
        <f t="shared" si="28"/>
        <v>6980</v>
      </c>
      <c r="Q361" s="1" t="str">
        <f t="shared" si="29"/>
        <v>High</v>
      </c>
    </row>
    <row r="362" spans="1:17">
      <c r="A362" t="s">
        <v>387</v>
      </c>
      <c r="B362" t="s">
        <v>30</v>
      </c>
      <c r="C362" t="s">
        <v>19</v>
      </c>
      <c r="D362">
        <v>0</v>
      </c>
      <c r="E362" t="s">
        <v>20</v>
      </c>
      <c r="F362" t="s">
        <v>21</v>
      </c>
      <c r="G362">
        <v>8550</v>
      </c>
      <c r="H362">
        <v>4255</v>
      </c>
      <c r="I362">
        <v>96</v>
      </c>
      <c r="J362">
        <v>360</v>
      </c>
      <c r="L362" t="s">
        <v>22</v>
      </c>
      <c r="M362">
        <f t="shared" si="25"/>
        <v>12805</v>
      </c>
      <c r="N362">
        <f t="shared" si="26"/>
        <v>4156</v>
      </c>
      <c r="O362">
        <f t="shared" si="27"/>
        <v>5205</v>
      </c>
      <c r="P362">
        <f t="shared" si="28"/>
        <v>6980</v>
      </c>
      <c r="Q362" s="1" t="str">
        <f t="shared" si="29"/>
        <v>Very High</v>
      </c>
    </row>
    <row r="363" spans="1:17">
      <c r="A363" t="s">
        <v>388</v>
      </c>
      <c r="B363" t="s">
        <v>18</v>
      </c>
      <c r="C363" t="s">
        <v>19</v>
      </c>
      <c r="D363">
        <v>1</v>
      </c>
      <c r="E363" t="s">
        <v>20</v>
      </c>
      <c r="F363" t="s">
        <v>21</v>
      </c>
      <c r="G363">
        <v>2269</v>
      </c>
      <c r="H363">
        <v>2167</v>
      </c>
      <c r="I363">
        <v>99</v>
      </c>
      <c r="J363">
        <v>360</v>
      </c>
      <c r="K363">
        <v>1</v>
      </c>
      <c r="L363" t="s">
        <v>31</v>
      </c>
      <c r="M363">
        <f t="shared" si="25"/>
        <v>4436</v>
      </c>
      <c r="N363">
        <f t="shared" si="26"/>
        <v>4156</v>
      </c>
      <c r="O363">
        <f t="shared" si="27"/>
        <v>5205</v>
      </c>
      <c r="P363">
        <f t="shared" si="28"/>
        <v>6980</v>
      </c>
      <c r="Q363" s="1" t="str">
        <f t="shared" si="29"/>
        <v>Medium</v>
      </c>
    </row>
    <row r="364" spans="1:17">
      <c r="A364" t="s">
        <v>389</v>
      </c>
      <c r="B364" t="s">
        <v>18</v>
      </c>
      <c r="C364" t="s">
        <v>19</v>
      </c>
      <c r="D364">
        <v>3</v>
      </c>
      <c r="E364" t="s">
        <v>27</v>
      </c>
      <c r="F364" t="s">
        <v>19</v>
      </c>
      <c r="G364">
        <v>4009</v>
      </c>
      <c r="H364">
        <v>1777</v>
      </c>
      <c r="I364">
        <v>113</v>
      </c>
      <c r="J364">
        <v>360</v>
      </c>
      <c r="K364">
        <v>1</v>
      </c>
      <c r="L364" t="s">
        <v>22</v>
      </c>
      <c r="M364">
        <f t="shared" si="25"/>
        <v>5786</v>
      </c>
      <c r="N364">
        <f t="shared" si="26"/>
        <v>4156</v>
      </c>
      <c r="O364">
        <f t="shared" si="27"/>
        <v>5205</v>
      </c>
      <c r="P364">
        <f t="shared" si="28"/>
        <v>6980</v>
      </c>
      <c r="Q364" s="1" t="str">
        <f t="shared" si="29"/>
        <v>High</v>
      </c>
    </row>
    <row r="365" spans="1:17">
      <c r="A365" t="s">
        <v>390</v>
      </c>
      <c r="B365" t="s">
        <v>18</v>
      </c>
      <c r="C365" t="s">
        <v>19</v>
      </c>
      <c r="D365">
        <v>0</v>
      </c>
      <c r="E365" t="s">
        <v>20</v>
      </c>
      <c r="F365" t="s">
        <v>21</v>
      </c>
      <c r="G365">
        <v>4158</v>
      </c>
      <c r="H365">
        <v>709</v>
      </c>
      <c r="I365">
        <v>115</v>
      </c>
      <c r="J365">
        <v>360</v>
      </c>
      <c r="K365">
        <v>1</v>
      </c>
      <c r="L365" t="s">
        <v>22</v>
      </c>
      <c r="M365">
        <f t="shared" si="25"/>
        <v>4867</v>
      </c>
      <c r="N365">
        <f t="shared" si="26"/>
        <v>4156</v>
      </c>
      <c r="O365">
        <f t="shared" si="27"/>
        <v>5205</v>
      </c>
      <c r="P365">
        <f t="shared" si="28"/>
        <v>6980</v>
      </c>
      <c r="Q365" s="1" t="str">
        <f t="shared" si="29"/>
        <v>Medium</v>
      </c>
    </row>
    <row r="366" spans="1:17">
      <c r="A366" t="s">
        <v>391</v>
      </c>
      <c r="B366" t="s">
        <v>18</v>
      </c>
      <c r="C366" t="s">
        <v>21</v>
      </c>
      <c r="D366">
        <v>0</v>
      </c>
      <c r="E366" t="s">
        <v>20</v>
      </c>
      <c r="F366" t="s">
        <v>21</v>
      </c>
      <c r="G366">
        <v>3250</v>
      </c>
      <c r="H366">
        <v>1993</v>
      </c>
      <c r="I366">
        <v>126</v>
      </c>
      <c r="J366">
        <v>360</v>
      </c>
      <c r="L366" t="s">
        <v>31</v>
      </c>
      <c r="M366">
        <f t="shared" si="25"/>
        <v>5243</v>
      </c>
      <c r="N366">
        <f t="shared" si="26"/>
        <v>4156</v>
      </c>
      <c r="O366">
        <f t="shared" si="27"/>
        <v>5205</v>
      </c>
      <c r="P366">
        <f t="shared" si="28"/>
        <v>6980</v>
      </c>
      <c r="Q366" s="1" t="str">
        <f t="shared" si="29"/>
        <v>High</v>
      </c>
    </row>
    <row r="367" spans="1:17">
      <c r="A367" t="s">
        <v>392</v>
      </c>
      <c r="B367" t="s">
        <v>18</v>
      </c>
      <c r="C367" t="s">
        <v>19</v>
      </c>
      <c r="D367">
        <v>0</v>
      </c>
      <c r="E367" t="s">
        <v>20</v>
      </c>
      <c r="F367" t="s">
        <v>21</v>
      </c>
      <c r="G367">
        <v>5000</v>
      </c>
      <c r="H367">
        <v>2393</v>
      </c>
      <c r="I367">
        <v>158</v>
      </c>
      <c r="J367">
        <v>360</v>
      </c>
      <c r="K367">
        <v>1</v>
      </c>
      <c r="L367" t="s">
        <v>33</v>
      </c>
      <c r="M367">
        <f t="shared" si="25"/>
        <v>7393</v>
      </c>
      <c r="N367">
        <f t="shared" si="26"/>
        <v>4156</v>
      </c>
      <c r="O367">
        <f t="shared" si="27"/>
        <v>5205</v>
      </c>
      <c r="P367">
        <f t="shared" si="28"/>
        <v>6980</v>
      </c>
      <c r="Q367" s="1" t="str">
        <f t="shared" si="29"/>
        <v>Very High</v>
      </c>
    </row>
    <row r="368" spans="1:17">
      <c r="A368" t="s">
        <v>393</v>
      </c>
      <c r="B368" t="s">
        <v>18</v>
      </c>
      <c r="C368" t="s">
        <v>21</v>
      </c>
      <c r="D368">
        <v>0</v>
      </c>
      <c r="E368" t="s">
        <v>20</v>
      </c>
      <c r="F368" t="s">
        <v>19</v>
      </c>
      <c r="G368">
        <v>9200</v>
      </c>
      <c r="H368">
        <v>0</v>
      </c>
      <c r="I368">
        <v>98</v>
      </c>
      <c r="J368">
        <v>180</v>
      </c>
      <c r="K368">
        <v>1</v>
      </c>
      <c r="L368" t="s">
        <v>33</v>
      </c>
      <c r="M368">
        <f t="shared" si="25"/>
        <v>9200</v>
      </c>
      <c r="N368">
        <f t="shared" si="26"/>
        <v>4156</v>
      </c>
      <c r="O368">
        <f t="shared" si="27"/>
        <v>5205</v>
      </c>
      <c r="P368">
        <f t="shared" si="28"/>
        <v>6980</v>
      </c>
      <c r="Q368" s="1" t="str">
        <f t="shared" si="29"/>
        <v>Very High</v>
      </c>
    </row>
  </sheetData>
  <phoneticPr fontId="1" type="noConversion"/>
  <conditionalFormatting sqref="Q1:Q1048576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8">
      <colorScale>
        <cfvo type="min"/>
        <cfvo type="max"/>
        <color rgb="FF63BE7B"/>
        <color rgb="FFFCFCFF"/>
      </colorScale>
    </cfRule>
  </conditionalFormatting>
  <conditionalFormatting sqref="Q1:Q1048576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1:Q1048576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:Q1048576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1:Q104857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2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1:Q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19B8B-D4D1-4B84-BD90-557515D9565B}">
  <dimension ref="A1"/>
  <sheetViews>
    <sheetView workbookViewId="0">
      <selection sqref="A1:XFD1048576"/>
    </sheetView>
  </sheetViews>
  <sheetFormatPr defaultRowHeight="15"/>
  <cols>
    <col min="1" max="1" width="19.140625" style="2" bestFit="1" customWidth="1"/>
    <col min="2" max="2" width="23.28515625" style="2" bestFit="1" customWidth="1"/>
    <col min="3" max="16384" width="9.140625" style="2"/>
  </cols>
  <sheetData/>
  <mergeCells count="1">
    <mergeCell ref="A1:XFD1048576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D978A96-A0D4-4780-BD29-6B3F7E85540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Nsti Ludhiana</dc:creator>
  <cp:keywords/>
  <dc:description/>
  <cp:lastModifiedBy>Guest User</cp:lastModifiedBy>
  <cp:revision/>
  <dcterms:created xsi:type="dcterms:W3CDTF">2026-02-20T10:00:35Z</dcterms:created>
  <dcterms:modified xsi:type="dcterms:W3CDTF">2026-02-21T08:55:49Z</dcterms:modified>
  <cp:category/>
  <cp:contentStatus/>
</cp:coreProperties>
</file>